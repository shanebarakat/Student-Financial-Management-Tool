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sbara\Desktop\"/>
    </mc:Choice>
  </mc:AlternateContent>
  <xr:revisionPtr revIDLastSave="0" documentId="13_ncr:1_{7C48962B-6341-4C29-AE33-88F7236FE961}" xr6:coauthVersionLast="47" xr6:coauthVersionMax="47" xr10:uidLastSave="{00000000-0000-0000-0000-000000000000}"/>
  <bookViews>
    <workbookView xWindow="-108" yWindow="-108" windowWidth="23256" windowHeight="13896" xr2:uid="{17583752-2711-4FD6-8838-79FDDB59A547}"/>
  </bookViews>
  <sheets>
    <sheet name="General" sheetId="8" r:id="rId1"/>
    <sheet name="Notes" sheetId="18" r:id="rId2"/>
    <sheet name="September" sheetId="1" r:id="rId3"/>
    <sheet name="October" sheetId="10" r:id="rId4"/>
    <sheet name="November" sheetId="11" r:id="rId5"/>
    <sheet name="December" sheetId="12" r:id="rId6"/>
    <sheet name="January" sheetId="13" r:id="rId7"/>
    <sheet name="February" sheetId="14" r:id="rId8"/>
    <sheet name="March" sheetId="15" r:id="rId9"/>
    <sheet name="April" sheetId="16" r:id="rId10"/>
    <sheet name="May" sheetId="17"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17" l="1"/>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49" i="16"/>
  <c r="D50" i="16"/>
  <c r="D51" i="16"/>
  <c r="D52" i="16"/>
  <c r="D53" i="16"/>
  <c r="D54" i="16"/>
  <c r="D55" i="16"/>
  <c r="D56" i="16"/>
  <c r="D57" i="16"/>
  <c r="D58" i="16"/>
  <c r="D59" i="16"/>
  <c r="D60" i="16"/>
  <c r="D61" i="16"/>
  <c r="D63" i="15"/>
  <c r="D64" i="15"/>
  <c r="D65" i="15"/>
  <c r="D66" i="15"/>
  <c r="D67" i="15"/>
  <c r="D68" i="15"/>
  <c r="D69" i="15"/>
  <c r="D70" i="15"/>
  <c r="D71" i="15"/>
  <c r="D72" i="15"/>
  <c r="D73" i="15"/>
  <c r="D74" i="15"/>
  <c r="D75" i="15"/>
  <c r="D76" i="15"/>
  <c r="D77" i="15"/>
  <c r="D78" i="15"/>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4" i="1"/>
  <c r="CB5" i="10"/>
  <c r="CB6" i="17"/>
  <c r="CB6" i="16"/>
  <c r="CB5" i="16"/>
  <c r="CB6" i="15"/>
  <c r="CB5" i="14"/>
  <c r="CB6" i="14"/>
  <c r="CB5" i="13"/>
  <c r="CB6" i="13"/>
  <c r="CB6" i="12"/>
  <c r="CB5" i="11"/>
  <c r="CB6" i="11"/>
  <c r="CB6" i="10"/>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D20" i="17"/>
  <c r="D19" i="17"/>
  <c r="D18" i="17"/>
  <c r="D17" i="17"/>
  <c r="D16" i="17"/>
  <c r="D15" i="17"/>
  <c r="D14" i="17"/>
  <c r="D13" i="17"/>
  <c r="D12" i="17"/>
  <c r="D11" i="17"/>
  <c r="D10" i="17"/>
  <c r="D9" i="17"/>
  <c r="CB5" i="17"/>
  <c r="D8" i="17"/>
  <c r="CB4" i="17"/>
  <c r="D7" i="17"/>
  <c r="CB3" i="17"/>
  <c r="D6" i="17"/>
  <c r="CB2" i="17"/>
  <c r="D5" i="17"/>
  <c r="CB1" i="17"/>
  <c r="D4" i="17"/>
  <c r="D3" i="17"/>
  <c r="D2" i="17"/>
  <c r="D62"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CB4" i="16"/>
  <c r="D7" i="16"/>
  <c r="CB3" i="16"/>
  <c r="D6" i="16"/>
  <c r="CB2" i="16"/>
  <c r="D5" i="16"/>
  <c r="CB1" i="16"/>
  <c r="D4" i="16"/>
  <c r="D3" i="16"/>
  <c r="D2" i="16"/>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CB5" i="15"/>
  <c r="D8" i="15"/>
  <c r="CB4" i="15"/>
  <c r="D7" i="15"/>
  <c r="CB3" i="15"/>
  <c r="D6" i="15"/>
  <c r="CB2" i="15"/>
  <c r="D5" i="15"/>
  <c r="CB1" i="15"/>
  <c r="D4" i="15"/>
  <c r="D3" i="15"/>
  <c r="D2" i="15"/>
  <c r="CB4" i="14"/>
  <c r="CB1" i="14"/>
  <c r="CB2" i="14"/>
  <c r="CB3"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c r="CB4" i="11"/>
  <c r="CB3" i="11"/>
  <c r="CB2" i="11"/>
  <c r="CB1" i="11"/>
  <c r="CB1" i="12"/>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2" i="13"/>
  <c r="D3" i="12"/>
  <c r="D4" i="12"/>
  <c r="D5" i="12"/>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2" i="12"/>
  <c r="D3" i="1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2" i="11"/>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2" i="10"/>
  <c r="D2" i="1"/>
  <c r="D3" i="1"/>
  <c r="D5" i="1"/>
  <c r="C6" i="1"/>
  <c r="C7" i="1"/>
  <c r="C8" i="1"/>
  <c r="C9" i="1"/>
  <c r="C10" i="1"/>
  <c r="C11" i="1"/>
  <c r="C12" i="1"/>
  <c r="C13" i="1"/>
  <c r="CB4" i="13"/>
  <c r="CB3" i="13"/>
  <c r="CB2" i="13"/>
  <c r="CB1" i="13"/>
  <c r="CB5" i="12"/>
  <c r="CB4" i="12"/>
  <c r="CB3" i="12"/>
  <c r="CB2" i="12"/>
  <c r="CB4" i="10"/>
  <c r="CB3" i="10"/>
  <c r="CB2" i="10"/>
  <c r="CB1" i="10"/>
  <c r="CB5" i="1" l="1"/>
  <c r="BC16" i="8" s="1"/>
  <c r="CB6" i="1"/>
  <c r="BC17" i="8" s="1"/>
  <c r="CB2" i="1"/>
  <c r="BC13" i="8" s="1"/>
  <c r="CB3" i="1"/>
  <c r="BC14" i="8" s="1"/>
  <c r="CB1" i="1"/>
  <c r="BC12" i="8" s="1"/>
  <c r="CB4" i="1"/>
  <c r="BC15" i="8" s="1"/>
  <c r="G1" i="15" a="1"/>
  <c r="G1" i="15" s="1"/>
  <c r="BC7" i="8" s="1"/>
  <c r="G1" i="17" a="1"/>
  <c r="G1" i="17" s="1"/>
  <c r="BC9" i="8" s="1"/>
  <c r="G1" i="16" a="1"/>
  <c r="G1" i="16" s="1"/>
  <c r="BC8" i="8" s="1"/>
  <c r="G1" i="13" a="1"/>
  <c r="G1" i="13" s="1"/>
  <c r="BC5" i="8" s="1"/>
  <c r="G1" i="14" a="1"/>
  <c r="G1" i="14" s="1"/>
  <c r="BC6" i="8" s="1"/>
  <c r="G1" i="12" a="1"/>
  <c r="G1" i="12" s="1"/>
  <c r="BC4" i="8" s="1"/>
  <c r="G1" i="1" a="1"/>
  <c r="G1" i="1" s="1"/>
  <c r="BC1" i="8" s="1"/>
  <c r="G1" i="11" a="1"/>
  <c r="G1" i="11" s="1"/>
  <c r="BC3" i="8" s="1"/>
  <c r="G1" i="10" a="1"/>
  <c r="G1" i="10" s="1"/>
  <c r="BC2" i="8" s="1"/>
  <c r="M2" i="8" l="1" a="1"/>
  <c r="M2" i="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<sst xmlns="http://schemas.openxmlformats.org/spreadsheetml/2006/main" count="147" uniqueCount="30">
  <si>
    <t>Date</t>
  </si>
  <si>
    <t>Value</t>
  </si>
  <si>
    <t>Category</t>
  </si>
  <si>
    <t>Total Balance</t>
  </si>
  <si>
    <t>Notes</t>
  </si>
  <si>
    <t>Food</t>
  </si>
  <si>
    <t>Subscriptions</t>
  </si>
  <si>
    <t>School</t>
  </si>
  <si>
    <t>Housing</t>
  </si>
  <si>
    <t>Income</t>
  </si>
  <si>
    <t>September</t>
  </si>
  <si>
    <t>October</t>
  </si>
  <si>
    <t>November</t>
  </si>
  <si>
    <t>December</t>
  </si>
  <si>
    <t>January</t>
  </si>
  <si>
    <t>Entertainment</t>
  </si>
  <si>
    <t>TOTAL BALANCE FOR MONTH</t>
  </si>
  <si>
    <t>TOTAL BALANCE FOR THE MONTH</t>
  </si>
  <si>
    <t xml:space="preserve">Food </t>
  </si>
  <si>
    <t>February</t>
  </si>
  <si>
    <t>March</t>
  </si>
  <si>
    <t>April</t>
  </si>
  <si>
    <t>May</t>
  </si>
  <si>
    <t>TOTAL BALANCE</t>
  </si>
  <si>
    <t>NotePad</t>
  </si>
  <si>
    <t>Other</t>
  </si>
  <si>
    <t>Hello</t>
  </si>
  <si>
    <t>tutition</t>
  </si>
  <si>
    <t>Paychecl</t>
  </si>
  <si>
    <t>Marking Note: For grading purposes, if you want to clear data from the table for any reason, do not clear the data from the Total Balance Column, as there are Excel functions in those cells. Clearing all the other columns should remove the value from that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</si>
</sst>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
  </numFmts>
  <fonts count="8" x14ac:knownFonts="1">
    <font>
      <sz val="11"/>
      <color theme="1"/>
      <name val="Calibri"/>
      <family val="2"/>
      <scheme val="minor"/>
    </font>
    <font>
      <sz val="11"/>
      <color theme="1"/>
      <name val="Calibri"/>
      <family val="2"/>
      <scheme val="minor"/>
    </font>
    <font>
      <b/>
      <sz val="18"/>
      <color theme="1"/>
      <name val="Calibri"/>
      <family val="2"/>
      <scheme val="minor"/>
    </font>
    <font>
      <b/>
      <sz val="36"/>
      <color theme="1"/>
      <name val="Aharoni"/>
      <charset val="177"/>
    </font>
    <font>
      <sz val="26"/>
      <color theme="1"/>
      <name val="Aharoni"/>
      <charset val="177"/>
    </font>
    <font>
      <sz val="20"/>
      <color theme="1"/>
      <name val="Aharoni"/>
      <charset val="177"/>
    </font>
    <font>
      <sz val="18"/>
      <color theme="1"/>
      <name val="Aharoni"/>
      <charset val="177"/>
    </font>
    <font>
      <u/>
      <sz val="11"/>
      <color theme="10"/>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FEDCF8"/>
        <bgColor indexed="64"/>
      </patternFill>
    </fill>
    <fill>
      <patternFill patternType="solid">
        <fgColor rgb="FFFEACAC"/>
        <bgColor indexed="64"/>
      </patternFill>
    </fill>
    <fill>
      <patternFill patternType="solid">
        <fgColor rgb="FFBCB5FD"/>
        <bgColor indexed="64"/>
      </patternFill>
    </fill>
    <fill>
      <patternFill patternType="solid">
        <fgColor theme="7" tint="0.59999389629810485"/>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0" fontId="7" fillId="0" borderId="0" applyNumberFormat="0" applyFill="0" applyBorder="0" applyAlignment="0" applyProtection="0"/>
  </cellStyleXfs>
  <cellXfs count="30">
    <xf numFmtId="0" fontId="0" fillId="0" borderId="0" xfId="0"/>
    <xf numFmtId="16" fontId="0" fillId="0" borderId="0" xfId="0" applyNumberFormat="1"/>
    <xf numFmtId="44" fontId="0" fillId="0" borderId="0" xfId="1" applyFont="1"/>
    <xf numFmtId="44" fontId="0" fillId="0" borderId="0" xfId="0" applyNumberFormat="1"/>
    <xf numFmtId="44" fontId="3" fillId="0" borderId="0" xfId="0" applyNumberFormat="1" applyFont="1"/>
    <xf numFmtId="0" fontId="2" fillId="2" borderId="0" xfId="0" applyFont="1" applyFill="1"/>
    <xf numFmtId="44" fontId="2" fillId="2" borderId="0" xfId="1" applyFont="1" applyFill="1"/>
    <xf numFmtId="16" fontId="0" fillId="0" borderId="0" xfId="0" applyNumberFormat="1" applyAlignment="1">
      <alignment horizontal="right"/>
    </xf>
    <xf numFmtId="0" fontId="2" fillId="3" borderId="0" xfId="0" applyFont="1" applyFill="1"/>
    <xf numFmtId="44" fontId="2" fillId="3" borderId="0" xfId="1" applyFont="1" applyFill="1"/>
    <xf numFmtId="0" fontId="2" fillId="4" borderId="0" xfId="0" applyFont="1" applyFill="1"/>
    <xf numFmtId="44" fontId="2" fillId="4" borderId="0" xfId="1" applyFont="1" applyFill="1"/>
    <xf numFmtId="0" fontId="2" fillId="5" borderId="0" xfId="0" applyFont="1" applyFill="1"/>
    <xf numFmtId="44" fontId="2" fillId="5" borderId="0" xfId="1" applyFont="1" applyFill="1"/>
    <xf numFmtId="0" fontId="2" fillId="6" borderId="0" xfId="0" applyFont="1" applyFill="1"/>
    <xf numFmtId="44" fontId="2" fillId="6" borderId="0" xfId="1" applyFont="1" applyFill="1"/>
    <xf numFmtId="0" fontId="2" fillId="7" borderId="0" xfId="0" applyFont="1" applyFill="1"/>
    <xf numFmtId="44" fontId="2" fillId="7" borderId="0" xfId="1" applyFont="1" applyFill="1"/>
    <xf numFmtId="0" fontId="2" fillId="8" borderId="0" xfId="0" applyFont="1" applyFill="1"/>
    <xf numFmtId="44" fontId="2" fillId="8" borderId="0" xfId="1" applyFont="1" applyFill="1"/>
    <xf numFmtId="0" fontId="2" fillId="9" borderId="0" xfId="0" applyFont="1" applyFill="1"/>
    <xf numFmtId="44" fontId="2" fillId="9" borderId="0" xfId="1" applyFont="1" applyFill="1"/>
    <xf numFmtId="0" fontId="2" fillId="10" borderId="0" xfId="0" applyFont="1" applyFill="1"/>
    <xf numFmtId="44" fontId="2" fillId="10" borderId="0" xfId="1" applyFont="1" applyFill="1"/>
    <xf numFmtId="164" fontId="0" fillId="0" borderId="0" xfId="0" applyNumberFormat="1"/>
    <xf numFmtId="0" fontId="5" fillId="0" borderId="0" xfId="0" applyFont="1"/>
    <xf numFmtId="0" fontId="0" fillId="0" borderId="0" xfId="0" applyAlignment="1">
      <alignment wrapText="1"/>
    </xf>
    <xf numFmtId="0" fontId="6" fillId="0" borderId="0" xfId="0" applyFont="1" applyAlignment="1">
      <alignment horizontal="center"/>
    </xf>
    <xf numFmtId="44" fontId="4" fillId="0" borderId="0" xfId="1" applyFont="1"/>
    <xf numFmtId="0" fontId="7" fillId="0" borderId="0" xfId="2"/>
  </cellXfs>
  <cellStyles count="3">
    <cellStyle name="Currency" xfId="1" builtinId="4"/>
    <cellStyle name="Hyperlink" xfId="2" builtinId="8"/>
    <cellStyle name="Normal" xfId="0" builtinId="0"/>
  </cellStyles>
  <dxfs count="3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9F3FF"/>
      <color rgb="FFFEACAC"/>
      <color rgb="FFFEDCF8"/>
      <color rgb="FFBCB5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Monthly</a:t>
            </a:r>
            <a:r>
              <a:rPr lang="en-CA" baseline="0"/>
              <a:t>  </a:t>
            </a:r>
          </a:p>
          <a:p>
            <a:pPr>
              <a:defRPr/>
            </a:pPr>
            <a:r>
              <a:rPr lang="en-CA" baseline="0"/>
              <a:t>Total Balance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09F3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General!$BB$1:$BB$9</c:f>
              <c:strCache>
                <c:ptCount val="9"/>
                <c:pt idx="0">
                  <c:v>September</c:v>
                </c:pt>
                <c:pt idx="1">
                  <c:v>October</c:v>
                </c:pt>
                <c:pt idx="2">
                  <c:v>November</c:v>
                </c:pt>
                <c:pt idx="3">
                  <c:v>December</c:v>
                </c:pt>
                <c:pt idx="4">
                  <c:v>January</c:v>
                </c:pt>
                <c:pt idx="5">
                  <c:v>February</c:v>
                </c:pt>
                <c:pt idx="6">
                  <c:v>March</c:v>
                </c:pt>
                <c:pt idx="7">
                  <c:v>April</c:v>
                </c:pt>
                <c:pt idx="8">
                  <c:v>May</c:v>
                </c:pt>
              </c:strCache>
            </c:strRef>
          </c:cat>
          <c:val>
            <c:numRef>
              <c:f>General!$BC$1:$BC$9</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2AB9-4288-8ED5-74B96F4DF1A2}"/>
            </c:ext>
          </c:extLst>
        </c:ser>
        <c:dLbls>
          <c:showLegendKey val="0"/>
          <c:showVal val="0"/>
          <c:showCatName val="0"/>
          <c:showSerName val="0"/>
          <c:showPercent val="0"/>
          <c:showBubbleSize val="0"/>
        </c:dLbls>
        <c:gapWidth val="219"/>
        <c:overlap val="-27"/>
        <c:axId val="526111040"/>
        <c:axId val="1700332432"/>
      </c:barChart>
      <c:catAx>
        <c:axId val="5261110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332432"/>
        <c:crosses val="autoZero"/>
        <c:auto val="1"/>
        <c:lblAlgn val="ctr"/>
        <c:lblOffset val="100"/>
        <c:noMultiLvlLbl val="0"/>
      </c:catAx>
      <c:valAx>
        <c:axId val="1700332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Balance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11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Total</a:t>
            </a:r>
            <a:r>
              <a:rPr lang="en-CA" baseline="0"/>
              <a:t> Spending by Category to Date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30-4AD0-A3BF-D69D41AB812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30-4AD0-A3BF-D69D41AB812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30-4AD0-A3BF-D69D41AB812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430-4AD0-A3BF-D69D41AB8121}"/>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1430-4AD0-A3BF-D69D41AB81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097-44C4-A185-74A8AE7CC2D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General!$BB$12:$BB$17</c:f>
              <c:strCache>
                <c:ptCount val="6"/>
                <c:pt idx="0">
                  <c:v>Food</c:v>
                </c:pt>
                <c:pt idx="1">
                  <c:v>Entertainment</c:v>
                </c:pt>
                <c:pt idx="2">
                  <c:v>Subscriptions</c:v>
                </c:pt>
                <c:pt idx="3">
                  <c:v>School</c:v>
                </c:pt>
                <c:pt idx="4">
                  <c:v>Housing</c:v>
                </c:pt>
                <c:pt idx="5">
                  <c:v>Other</c:v>
                </c:pt>
              </c:strCache>
            </c:strRef>
          </c:cat>
          <c:val>
            <c:numRef>
              <c:f>General!$BC$12:$BC$17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225-4A6C-BAE8-25B710A9CD7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Total</a:t>
            </a:r>
            <a:r>
              <a:rPr lang="en-CA" baseline="0"/>
              <a:t> Balance Based On Each Month</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rgbClr val="09F3FF"/>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General!$BB$1:$BB$9</c:f>
              <c:strCache>
                <c:ptCount val="9"/>
                <c:pt idx="0">
                  <c:v>September</c:v>
                </c:pt>
                <c:pt idx="1">
                  <c:v>October</c:v>
                </c:pt>
                <c:pt idx="2">
                  <c:v>November</c:v>
                </c:pt>
                <c:pt idx="3">
                  <c:v>December</c:v>
                </c:pt>
                <c:pt idx="4">
                  <c:v>January</c:v>
                </c:pt>
                <c:pt idx="5">
                  <c:v>February</c:v>
                </c:pt>
                <c:pt idx="6">
                  <c:v>March</c:v>
                </c:pt>
                <c:pt idx="7">
                  <c:v>April</c:v>
                </c:pt>
                <c:pt idx="8">
                  <c:v>May</c:v>
                </c:pt>
              </c:strCache>
            </c:strRef>
          </c:cat>
          <c:val>
            <c:numRef>
              <c:f>General!$BC$1:$BC$9</c:f>
              <c:numCache>
                <c:formatCode>_("$"* #,##0.00_);_("$"* \(#,##0.00\);_("$"* "-"??_);_(@_)</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9DD8-484A-9CE5-F72FC5BDF931}"/>
            </c:ext>
          </c:extLst>
        </c:ser>
        <c:dLbls>
          <c:dLblPos val="t"/>
          <c:showLegendKey val="0"/>
          <c:showVal val="1"/>
          <c:showCatName val="0"/>
          <c:showSerName val="0"/>
          <c:showPercent val="0"/>
          <c:showBubbleSize val="0"/>
        </c:dLbls>
        <c:marker val="1"/>
        <c:smooth val="0"/>
        <c:axId val="1508620128"/>
        <c:axId val="1361332368"/>
      </c:lineChart>
      <c:catAx>
        <c:axId val="15086201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1332368"/>
        <c:crosses val="autoZero"/>
        <c:auto val="1"/>
        <c:lblAlgn val="ctr"/>
        <c:lblOffset val="100"/>
        <c:noMultiLvlLbl val="0"/>
      </c:catAx>
      <c:valAx>
        <c:axId val="136133236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620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Fluctuation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September!$D$1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September!$A$2:$A$119</c:f>
              <c:numCache>
                <c:formatCode>d\-mmm</c:formatCode>
                <c:ptCount val="118"/>
              </c:numCache>
            </c:numRef>
          </c:xVal>
          <c:yVal>
            <c:numRef>
              <c:f>September!$D$2:$D$119</c:f>
              <c:numCache>
                <c:formatCode>_("$"* #,##0.00_);_("$"* \(#,##0.00\);_("$"* "-"??_);_(@_)</c:formatCode>
                <c:ptCount val="1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Cache>
            </c:numRef>
          </c:yVal>
          <c:smooth val="1"/>
          <c:extLst>
            <c:ext xmlns:c16="http://schemas.microsoft.com/office/drawing/2014/chart" uri="{C3380CC4-5D6E-409C-BE32-E72D297353CC}">
              <c16:uniqueId val="{00000000-96D6-414D-AE96-DDE6EC4156D2}"/>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September!$B$1</c:f>
              <c:strCache>
                <c:ptCount val="1"/>
                <c:pt idx="0">
                  <c:v> Value </c:v>
                </c:pt>
              </c:strCache>
            </c:strRef>
          </c:tx>
          <c:spPr>
            <a:solidFill>
              <a:schemeClr val="accent1">
                <a:lumMod val="20000"/>
                <a:lumOff val="80000"/>
              </a:schemeClr>
            </a:solidFill>
            <a:ln>
              <a:noFill/>
            </a:ln>
            <a:effectLst/>
          </c:spPr>
          <c:invertIfNegative val="0"/>
          <c:cat>
            <c:numRef>
              <c:f>September!$A$2:$A$181</c:f>
              <c:numCache>
                <c:formatCode>d\-mmm</c:formatCode>
                <c:ptCount val="180"/>
              </c:numCache>
            </c:numRef>
          </c:cat>
          <c:val>
            <c:numRef>
              <c:f>September!$B$2:$B$181</c:f>
              <c:numCache>
                <c:formatCode>_("$"* #,##0.00_);_("$"* \(#,##0.00\);_("$"* "-"??_);_(@_)</c:formatCode>
                <c:ptCount val="180"/>
              </c:numCache>
            </c:numRef>
          </c:val>
          <c:extLst>
            <c:ext xmlns:c16="http://schemas.microsoft.com/office/drawing/2014/chart" uri="{C3380CC4-5D6E-409C-BE32-E72D297353CC}">
              <c16:uniqueId val="{00000000-7FA8-470C-A12F-8FE4D3B9C335}"/>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 Based</a:t>
            </a:r>
            <a:r>
              <a:rPr lang="en-CA" baseline="0"/>
              <a:t> on Categories for September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C3-4719-84EB-CD1D003859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C3-4719-84EB-CD1D003859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C3-4719-84EB-CD1D0038590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C3-4719-84EB-CD1D00385905}"/>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2CC3-4719-84EB-CD1D0038590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E52-400C-98AC-13C55DF1E3E5}"/>
              </c:ext>
            </c:extLst>
          </c:dPt>
          <c:cat>
            <c:strRef>
              <c:f>September!$CA$1:$CA$6</c:f>
              <c:strCache>
                <c:ptCount val="6"/>
                <c:pt idx="0">
                  <c:v>Food</c:v>
                </c:pt>
                <c:pt idx="1">
                  <c:v>Entertainment</c:v>
                </c:pt>
                <c:pt idx="2">
                  <c:v>Subscriptions</c:v>
                </c:pt>
                <c:pt idx="3">
                  <c:v>School</c:v>
                </c:pt>
                <c:pt idx="4">
                  <c:v>Housing</c:v>
                </c:pt>
                <c:pt idx="5">
                  <c:v>Other</c:v>
                </c:pt>
              </c:strCache>
            </c:strRef>
          </c:cat>
          <c:val>
            <c:numRef>
              <c:f>September!$CB$1:$CB$6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23E-4CF6-BB5D-9C2B1D09A0D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October!$D$1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October!$A$2:$A$123</c:f>
              <c:numCache>
                <c:formatCode>d\-mmm</c:formatCode>
                <c:ptCount val="122"/>
              </c:numCache>
            </c:numRef>
          </c:xVal>
          <c:yVal>
            <c:numRef>
              <c:f>October!$D$2:$D$123</c:f>
              <c:numCache>
                <c:formatCode>_("$"* #,##0.00_);_("$"* \(#,##0.00\);_("$"* "-"??_);_(@_)</c:formatCode>
                <c:ptCount val="1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numCache>
            </c:numRef>
          </c:yVal>
          <c:smooth val="1"/>
          <c:extLst>
            <c:ext xmlns:c16="http://schemas.microsoft.com/office/drawing/2014/chart" uri="{C3380CC4-5D6E-409C-BE32-E72D297353CC}">
              <c16:uniqueId val="{00000000-54E0-401D-8256-FDFAA68F77D3}"/>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October!$B$1</c:f>
              <c:strCache>
                <c:ptCount val="1"/>
                <c:pt idx="0">
                  <c:v> Value </c:v>
                </c:pt>
              </c:strCache>
            </c:strRef>
          </c:tx>
          <c:spPr>
            <a:solidFill>
              <a:schemeClr val="accent2">
                <a:lumMod val="40000"/>
                <a:lumOff val="60000"/>
              </a:schemeClr>
            </a:solidFill>
            <a:ln>
              <a:noFill/>
            </a:ln>
            <a:effectLst/>
          </c:spPr>
          <c:invertIfNegative val="0"/>
          <c:cat>
            <c:numRef>
              <c:f>October!$A$2:$A$179</c:f>
              <c:numCache>
                <c:formatCode>d\-mmm</c:formatCode>
                <c:ptCount val="178"/>
              </c:numCache>
            </c:numRef>
          </c:cat>
          <c:val>
            <c:numRef>
              <c:f>October!$B$2:$B$179</c:f>
              <c:numCache>
                <c:formatCode>_("$"* #,##0.00_);_("$"* \(#,##0.00\);_("$"* "-"??_);_(@_)</c:formatCode>
                <c:ptCount val="178"/>
              </c:numCache>
            </c:numRef>
          </c:val>
          <c:extLst>
            <c:ext xmlns:c16="http://schemas.microsoft.com/office/drawing/2014/chart" uri="{C3380CC4-5D6E-409C-BE32-E72D297353CC}">
              <c16:uniqueId val="{00000000-6F92-4E8A-9D41-3B86D3F68488}"/>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a:t>
            </a:r>
            <a:r>
              <a:rPr lang="en-CA" baseline="0"/>
              <a:t> Based on Categories for October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AC-4090-9070-21564A2502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AC-4090-9070-21564A2502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CAC-4090-9070-21564A25025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CAC-4090-9070-21564A25025B}"/>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6CAC-4090-9070-21564A25025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DBF-4557-B186-0B36962DA219}"/>
              </c:ext>
            </c:extLst>
          </c:dPt>
          <c:cat>
            <c:strRef>
              <c:f>October!$CA$1:$CA$6</c:f>
              <c:strCache>
                <c:ptCount val="6"/>
                <c:pt idx="0">
                  <c:v>Food</c:v>
                </c:pt>
                <c:pt idx="1">
                  <c:v>Entertainment</c:v>
                </c:pt>
                <c:pt idx="2">
                  <c:v>Subscriptions</c:v>
                </c:pt>
                <c:pt idx="3">
                  <c:v>School</c:v>
                </c:pt>
                <c:pt idx="4">
                  <c:v>Housing</c:v>
                </c:pt>
                <c:pt idx="5">
                  <c:v>Other</c:v>
                </c:pt>
              </c:strCache>
            </c:strRef>
          </c:cat>
          <c:val>
            <c:numRef>
              <c:f>October!$CB$1:$CB$6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6CAC-4090-9070-21564A25025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November!$D$1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November!$A$2:$A$605</c:f>
              <c:numCache>
                <c:formatCode>d\-mmm</c:formatCode>
                <c:ptCount val="604"/>
              </c:numCache>
            </c:numRef>
          </c:xVal>
          <c:yVal>
            <c:numRef>
              <c:f>November!$D$2:$D$605</c:f>
              <c:numCache>
                <c:formatCode>_("$"* #,##0.00_);_("$"* \(#,##0.00\);_("$"* "-"??_);_(@_)</c:formatCode>
                <c:ptCount val="6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yVal>
          <c:smooth val="1"/>
          <c:extLst>
            <c:ext xmlns:c16="http://schemas.microsoft.com/office/drawing/2014/chart" uri="{C3380CC4-5D6E-409C-BE32-E72D297353CC}">
              <c16:uniqueId val="{00000000-3244-43A4-9A27-4D68346F84CB}"/>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November!$B$1</c:f>
              <c:strCache>
                <c:ptCount val="1"/>
                <c:pt idx="0">
                  <c:v> Value </c:v>
                </c:pt>
              </c:strCache>
            </c:strRef>
          </c:tx>
          <c:spPr>
            <a:solidFill>
              <a:schemeClr val="tx2">
                <a:lumMod val="60000"/>
                <a:lumOff val="40000"/>
              </a:schemeClr>
            </a:solidFill>
            <a:ln>
              <a:noFill/>
            </a:ln>
            <a:effectLst/>
          </c:spPr>
          <c:invertIfNegative val="0"/>
          <c:cat>
            <c:numRef>
              <c:f>November!$A$2:$A$701</c:f>
              <c:numCache>
                <c:formatCode>d\-mmm</c:formatCode>
                <c:ptCount val="700"/>
              </c:numCache>
            </c:numRef>
          </c:cat>
          <c:val>
            <c:numRef>
              <c:f>November!$B$2:$B$701</c:f>
              <c:numCache>
                <c:formatCode>_("$"* #,##0.00_);_("$"* \(#,##0.00\);_("$"* "-"??_);_(@_)</c:formatCode>
                <c:ptCount val="700"/>
              </c:numCache>
            </c:numRef>
          </c:val>
          <c:extLst>
            <c:ext xmlns:c16="http://schemas.microsoft.com/office/drawing/2014/chart" uri="{C3380CC4-5D6E-409C-BE32-E72D297353CC}">
              <c16:uniqueId val="{00000000-EF4D-4B86-A9EA-B0C22895D6C9}"/>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a:t>
            </a:r>
            <a:r>
              <a:rPr lang="en-CA" baseline="0"/>
              <a:t> Based on Categories for November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734-4968-A9C1-15A040090B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734-4968-A9C1-15A040090B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734-4968-A9C1-15A040090B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734-4968-A9C1-15A040090B03}"/>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4734-4968-A9C1-15A040090B0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CB1-4F4B-8B75-907175EB48C2}"/>
              </c:ext>
            </c:extLst>
          </c:dPt>
          <c:cat>
            <c:strRef>
              <c:f>November!$CA$1:$CA$6</c:f>
              <c:strCache>
                <c:ptCount val="6"/>
                <c:pt idx="0">
                  <c:v>Food</c:v>
                </c:pt>
                <c:pt idx="1">
                  <c:v>Entertainment</c:v>
                </c:pt>
                <c:pt idx="2">
                  <c:v>Subscriptions</c:v>
                </c:pt>
                <c:pt idx="3">
                  <c:v>School</c:v>
                </c:pt>
                <c:pt idx="4">
                  <c:v>Housing</c:v>
                </c:pt>
                <c:pt idx="5">
                  <c:v>Other</c:v>
                </c:pt>
              </c:strCache>
            </c:strRef>
          </c:cat>
          <c:val>
            <c:numRef>
              <c:f>November!$CB$1:$CB$6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4734-4968-A9C1-15A040090B0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December!$D$1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December!$A$2:$A$236</c:f>
              <c:numCache>
                <c:formatCode>d\-mmm</c:formatCode>
                <c:ptCount val="235"/>
              </c:numCache>
            </c:numRef>
          </c:xVal>
          <c:yVal>
            <c:numRef>
              <c:f>December!$D$2:$D$236</c:f>
              <c:numCache>
                <c:formatCode>_("$"* #,##0.00_);_("$"* \(#,##0.00\);_("$"* "-"??_);_(@_)</c:formatCode>
                <c:ptCount val="2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00-6574-493F-87E9-AD56C7A12D83}"/>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December!$B$1</c:f>
              <c:strCache>
                <c:ptCount val="1"/>
                <c:pt idx="0">
                  <c:v> Value </c:v>
                </c:pt>
              </c:strCache>
            </c:strRef>
          </c:tx>
          <c:spPr>
            <a:solidFill>
              <a:schemeClr val="accent6">
                <a:lumMod val="40000"/>
                <a:lumOff val="60000"/>
              </a:schemeClr>
            </a:solidFill>
            <a:ln>
              <a:noFill/>
            </a:ln>
            <a:effectLst/>
          </c:spPr>
          <c:invertIfNegative val="0"/>
          <c:cat>
            <c:numRef>
              <c:f>December!$A$2:$A$133</c:f>
              <c:numCache>
                <c:formatCode>d\-mmm</c:formatCode>
                <c:ptCount val="132"/>
              </c:numCache>
            </c:numRef>
          </c:cat>
          <c:val>
            <c:numRef>
              <c:f>December!$B$2:$B$133</c:f>
              <c:numCache>
                <c:formatCode>_("$"* #,##0.00_);_("$"* \(#,##0.00\);_("$"* "-"??_);_(@_)</c:formatCode>
                <c:ptCount val="132"/>
              </c:numCache>
            </c:numRef>
          </c:val>
          <c:extLst>
            <c:ext xmlns:c16="http://schemas.microsoft.com/office/drawing/2014/chart" uri="{C3380CC4-5D6E-409C-BE32-E72D297353CC}">
              <c16:uniqueId val="{00000000-AF11-419F-91D5-7A96516AF6FD}"/>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a:t>
            </a:r>
            <a:r>
              <a:rPr lang="en-CA" baseline="0"/>
              <a:t> Based on Categories for November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F9-40D8-969B-FCA4A4D50F9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F9-40D8-969B-FCA4A4D50F9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F9-40D8-969B-FCA4A4D50F9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F9-40D8-969B-FCA4A4D50F92}"/>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2DF9-40D8-969B-FCA4A4D50F9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537-4350-B1BE-45B5F86A088F}"/>
              </c:ext>
            </c:extLst>
          </c:dPt>
          <c:cat>
            <c:strRef>
              <c:f>December!$CA$1:$CA$6</c:f>
              <c:strCache>
                <c:ptCount val="6"/>
                <c:pt idx="0">
                  <c:v>Food</c:v>
                </c:pt>
                <c:pt idx="1">
                  <c:v>Entertainment</c:v>
                </c:pt>
                <c:pt idx="2">
                  <c:v>Subscriptions</c:v>
                </c:pt>
                <c:pt idx="3">
                  <c:v>School</c:v>
                </c:pt>
                <c:pt idx="4">
                  <c:v>Housing</c:v>
                </c:pt>
                <c:pt idx="5">
                  <c:v>Other</c:v>
                </c:pt>
              </c:strCache>
            </c:strRef>
          </c:cat>
          <c:val>
            <c:numRef>
              <c:f>December!$CB$1:$CB$6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2DF9-40D8-969B-FCA4A4D50F9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January!$D$1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January!$A$2:$A$333</c:f>
              <c:numCache>
                <c:formatCode>d\-mmm</c:formatCode>
                <c:ptCount val="332"/>
              </c:numCache>
            </c:numRef>
          </c:xVal>
          <c:yVal>
            <c:numRef>
              <c:f>January!$D$2:$D$333</c:f>
              <c:numCache>
                <c:formatCode>_("$"* #,##0.00_);_("$"* \(#,##0.00\);_("$"* "-"??_);_(@_)</c:formatCode>
                <c:ptCount val="3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00-7B9C-4354-806F-2D90EC893D68}"/>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January!$B$1</c:f>
              <c:strCache>
                <c:ptCount val="1"/>
                <c:pt idx="0">
                  <c:v> Value </c:v>
                </c:pt>
              </c:strCache>
            </c:strRef>
          </c:tx>
          <c:spPr>
            <a:solidFill>
              <a:schemeClr val="bg1">
                <a:lumMod val="50000"/>
              </a:schemeClr>
            </a:solidFill>
            <a:ln>
              <a:noFill/>
            </a:ln>
            <a:effectLst/>
          </c:spPr>
          <c:invertIfNegative val="0"/>
          <c:cat>
            <c:numRef>
              <c:f>January!$A$2:$A$35</c:f>
              <c:numCache>
                <c:formatCode>d\-mmm</c:formatCode>
                <c:ptCount val="34"/>
              </c:numCache>
            </c:numRef>
          </c:cat>
          <c:val>
            <c:numRef>
              <c:f>January!$B$2:$B$35</c:f>
              <c:numCache>
                <c:formatCode>_("$"* #,##0.00_);_("$"* \(#,##0.00\);_("$"* "-"??_);_(@_)</c:formatCode>
                <c:ptCount val="34"/>
              </c:numCache>
            </c:numRef>
          </c:val>
          <c:extLst>
            <c:ext xmlns:c16="http://schemas.microsoft.com/office/drawing/2014/chart" uri="{C3380CC4-5D6E-409C-BE32-E72D297353CC}">
              <c16:uniqueId val="{00000000-60FD-463F-AD1E-03CE0A9CB63A}"/>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 Based</a:t>
            </a:r>
            <a:r>
              <a:rPr lang="en-CA" baseline="0"/>
              <a:t> on Categories for November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A3-408F-9BC1-433BD95860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A3-408F-9BC1-433BD95860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A3-408F-9BC1-433BD95860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9A3-408F-9BC1-433BD9586046}"/>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19A3-408F-9BC1-433BD958604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E13-4B71-B9DF-6E79FA42F9AA}"/>
              </c:ext>
            </c:extLst>
          </c:dPt>
          <c:cat>
            <c:strRef>
              <c:f>January!$CA$1:$CA$6</c:f>
              <c:strCache>
                <c:ptCount val="6"/>
                <c:pt idx="0">
                  <c:v>Food</c:v>
                </c:pt>
                <c:pt idx="1">
                  <c:v>Entertainment</c:v>
                </c:pt>
                <c:pt idx="2">
                  <c:v>Subscriptions</c:v>
                </c:pt>
                <c:pt idx="3">
                  <c:v>School</c:v>
                </c:pt>
                <c:pt idx="4">
                  <c:v>Housing</c:v>
                </c:pt>
                <c:pt idx="5">
                  <c:v>Other</c:v>
                </c:pt>
              </c:strCache>
            </c:strRef>
          </c:cat>
          <c:val>
            <c:numRef>
              <c:f>January!$CB$1:$CB$6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19A3-408F-9BC1-433BD958604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February!$D$1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February!$A$2:$A$226</c:f>
              <c:numCache>
                <c:formatCode>d\-mmm</c:formatCode>
                <c:ptCount val="225"/>
              </c:numCache>
            </c:numRef>
          </c:xVal>
          <c:yVal>
            <c:numRef>
              <c:f>February!$D$2:$D$226</c:f>
              <c:numCache>
                <c:formatCode>_("$"* #,##0.00_);_("$"* \(#,##0.00\);_("$"* "-"??_);_(@_)</c:formatCode>
                <c:ptCount val="2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yVal>
          <c:smooth val="1"/>
          <c:extLst>
            <c:ext xmlns:c16="http://schemas.microsoft.com/office/drawing/2014/chart" uri="{C3380CC4-5D6E-409C-BE32-E72D297353CC}">
              <c16:uniqueId val="{00000000-15F4-4B8B-AB95-E32FF5B3C502}"/>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February!$B$1</c:f>
              <c:strCache>
                <c:ptCount val="1"/>
                <c:pt idx="0">
                  <c:v> Value </c:v>
                </c:pt>
              </c:strCache>
            </c:strRef>
          </c:tx>
          <c:spPr>
            <a:solidFill>
              <a:srgbClr val="FEDCF8"/>
            </a:solidFill>
            <a:ln>
              <a:noFill/>
            </a:ln>
            <a:effectLst/>
          </c:spPr>
          <c:invertIfNegative val="0"/>
          <c:cat>
            <c:numRef>
              <c:f>February!$A$2:$A$498</c:f>
              <c:numCache>
                <c:formatCode>d\-mmm</c:formatCode>
                <c:ptCount val="497"/>
              </c:numCache>
            </c:numRef>
          </c:cat>
          <c:val>
            <c:numRef>
              <c:f>February!$B$2:$B$498</c:f>
              <c:numCache>
                <c:formatCode>_("$"* #,##0.00_);_("$"* \(#,##0.00\);_("$"* "-"??_);_(@_)</c:formatCode>
                <c:ptCount val="497"/>
              </c:numCache>
            </c:numRef>
          </c:val>
          <c:extLst>
            <c:ext xmlns:c16="http://schemas.microsoft.com/office/drawing/2014/chart" uri="{C3380CC4-5D6E-409C-BE32-E72D297353CC}">
              <c16:uniqueId val="{00000000-C145-4D7B-B390-F51096C2CF12}"/>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a:t>
            </a:r>
            <a:r>
              <a:rPr lang="en-CA" baseline="0"/>
              <a:t> Based on Categories for November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F65-4425-84F5-6A1A0FADE7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F65-4425-84F5-6A1A0FADE75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F65-4425-84F5-6A1A0FADE75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F65-4425-84F5-6A1A0FADE75F}"/>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5F65-4425-84F5-6A1A0FADE75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2AC-49D6-A473-C099AA42452A}"/>
              </c:ext>
            </c:extLst>
          </c:dPt>
          <c:cat>
            <c:strRef>
              <c:f>February!$CA$1:$CA$6</c:f>
              <c:strCache>
                <c:ptCount val="6"/>
                <c:pt idx="0">
                  <c:v>Food</c:v>
                </c:pt>
                <c:pt idx="1">
                  <c:v>Entertainment</c:v>
                </c:pt>
                <c:pt idx="2">
                  <c:v>Subscriptions</c:v>
                </c:pt>
                <c:pt idx="3">
                  <c:v>School</c:v>
                </c:pt>
                <c:pt idx="4">
                  <c:v>Housing</c:v>
                </c:pt>
                <c:pt idx="5">
                  <c:v>Other</c:v>
                </c:pt>
              </c:strCache>
            </c:strRef>
          </c:cat>
          <c:val>
            <c:numRef>
              <c:f>February!$CB$1:$CB$6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5F65-4425-84F5-6A1A0FADE75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March!$D$1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March!$A$2:$A$524</c:f>
              <c:numCache>
                <c:formatCode>d\-mmm</c:formatCode>
                <c:ptCount val="523"/>
              </c:numCache>
            </c:numRef>
          </c:xVal>
          <c:yVal>
            <c:numRef>
              <c:f>March!$D$2:$D$524</c:f>
              <c:numCache>
                <c:formatCode>_("$"* #,##0.00_);_("$"* \(#,##0.00\);_("$"* "-"??_);_(@_)</c:formatCode>
                <c:ptCount val="5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numCache>
            </c:numRef>
          </c:yVal>
          <c:smooth val="1"/>
          <c:extLst>
            <c:ext xmlns:c16="http://schemas.microsoft.com/office/drawing/2014/chart" uri="{C3380CC4-5D6E-409C-BE32-E72D297353CC}">
              <c16:uniqueId val="{00000000-2164-4CB9-840C-22F2FDBCF083}"/>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March!$B$1</c:f>
              <c:strCache>
                <c:ptCount val="1"/>
                <c:pt idx="0">
                  <c:v> Value </c:v>
                </c:pt>
              </c:strCache>
            </c:strRef>
          </c:tx>
          <c:spPr>
            <a:solidFill>
              <a:srgbClr val="FEACAC"/>
            </a:solidFill>
            <a:ln>
              <a:noFill/>
            </a:ln>
            <a:effectLst/>
          </c:spPr>
          <c:invertIfNegative val="0"/>
          <c:cat>
            <c:numRef>
              <c:f>March!$A$2:$A$597</c:f>
              <c:numCache>
                <c:formatCode>d\-mmm</c:formatCode>
                <c:ptCount val="596"/>
              </c:numCache>
            </c:numRef>
          </c:cat>
          <c:val>
            <c:numRef>
              <c:f>March!$B$2:$B$597</c:f>
              <c:numCache>
                <c:formatCode>_("$"* #,##0.00_);_("$"* \(#,##0.00\);_("$"* "-"??_);_(@_)</c:formatCode>
                <c:ptCount val="596"/>
              </c:numCache>
            </c:numRef>
          </c:val>
          <c:extLst>
            <c:ext xmlns:c16="http://schemas.microsoft.com/office/drawing/2014/chart" uri="{C3380CC4-5D6E-409C-BE32-E72D297353CC}">
              <c16:uniqueId val="{00000000-E3C7-4518-B61A-4191FA1D3C89}"/>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a:t>
            </a:r>
            <a:r>
              <a:rPr lang="en-CA" baseline="0"/>
              <a:t> Based on Categories for November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57-4A5D-B413-C4332FA01E5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57-4A5D-B413-C4332FA01E5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957-4A5D-B413-C4332FA01E5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957-4A5D-B413-C4332FA01E50}"/>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E957-4A5D-B413-C4332FA01E5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83-4B2E-B4E0-FF6AC57BB902}"/>
              </c:ext>
            </c:extLst>
          </c:dPt>
          <c:cat>
            <c:strRef>
              <c:f>March!$CA$1:$CA$6</c:f>
              <c:strCache>
                <c:ptCount val="6"/>
                <c:pt idx="0">
                  <c:v>Food</c:v>
                </c:pt>
                <c:pt idx="1">
                  <c:v>Entertainment</c:v>
                </c:pt>
                <c:pt idx="2">
                  <c:v>Subscriptions</c:v>
                </c:pt>
                <c:pt idx="3">
                  <c:v>School</c:v>
                </c:pt>
                <c:pt idx="4">
                  <c:v>Housing</c:v>
                </c:pt>
                <c:pt idx="5">
                  <c:v>Other</c:v>
                </c:pt>
              </c:strCache>
            </c:strRef>
          </c:cat>
          <c:val>
            <c:numRef>
              <c:f>March!$CB$1:$CB$6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E957-4A5D-B413-C4332FA01E5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April!$D$1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April!$A$2:$A$397</c:f>
              <c:numCache>
                <c:formatCode>d\-mmm</c:formatCode>
                <c:ptCount val="396"/>
              </c:numCache>
            </c:numRef>
          </c:xVal>
          <c:yVal>
            <c:numRef>
              <c:f>April!$D$2:$D$397</c:f>
              <c:numCache>
                <c:formatCode>_("$"* #,##0.00_);_("$"* \(#,##0.00\);_("$"* "-"??_);_(@_)</c:formatCode>
                <c:ptCount val="3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00-0DE9-405A-B170-101E302CEF53}"/>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April!$B$1</c:f>
              <c:strCache>
                <c:ptCount val="1"/>
                <c:pt idx="0">
                  <c:v> Value </c:v>
                </c:pt>
              </c:strCache>
            </c:strRef>
          </c:tx>
          <c:spPr>
            <a:solidFill>
              <a:srgbClr val="BCB5FD"/>
            </a:solidFill>
            <a:ln>
              <a:noFill/>
            </a:ln>
            <a:effectLst/>
          </c:spPr>
          <c:invertIfNegative val="0"/>
          <c:cat>
            <c:numRef>
              <c:f>April!$A$2:$A$360</c:f>
              <c:numCache>
                <c:formatCode>d\-mmm</c:formatCode>
                <c:ptCount val="359"/>
              </c:numCache>
            </c:numRef>
          </c:cat>
          <c:val>
            <c:numRef>
              <c:f>April!$B$2:$B$360</c:f>
              <c:numCache>
                <c:formatCode>_("$"* #,##0.00_);_("$"* \(#,##0.00\);_("$"* "-"??_);_(@_)</c:formatCode>
                <c:ptCount val="359"/>
              </c:numCache>
            </c:numRef>
          </c:val>
          <c:extLst>
            <c:ext xmlns:c16="http://schemas.microsoft.com/office/drawing/2014/chart" uri="{C3380CC4-5D6E-409C-BE32-E72D297353CC}">
              <c16:uniqueId val="{00000000-FA56-433A-94FE-3858DB9A28F1}"/>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 Based</a:t>
            </a:r>
            <a:r>
              <a:rPr lang="en-CA" baseline="0"/>
              <a:t> on Categories for November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112-4A86-B8FF-C4A6A66B1E6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112-4A86-B8FF-C4A6A66B1E6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112-4A86-B8FF-C4A6A66B1E6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112-4A86-B8FF-C4A6A66B1E63}"/>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4112-4A86-B8FF-C4A6A66B1E6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1C3-4B65-BDD4-B0826C7D6209}"/>
              </c:ext>
            </c:extLst>
          </c:dPt>
          <c:cat>
            <c:strRef>
              <c:f>April!$CA$1:$CA$6</c:f>
              <c:strCache>
                <c:ptCount val="6"/>
                <c:pt idx="0">
                  <c:v>Food</c:v>
                </c:pt>
                <c:pt idx="1">
                  <c:v>Entertainment</c:v>
                </c:pt>
                <c:pt idx="2">
                  <c:v>Subscriptions</c:v>
                </c:pt>
                <c:pt idx="3">
                  <c:v>School</c:v>
                </c:pt>
                <c:pt idx="4">
                  <c:v>Housing</c:v>
                </c:pt>
                <c:pt idx="5">
                  <c:v>Other</c:v>
                </c:pt>
              </c:strCache>
            </c:strRef>
          </c:cat>
          <c:val>
            <c:numRef>
              <c:f>April!$CB$1:$CB$6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4112-4A86-B8FF-C4A6A66B1E6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Balance Based on Date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May!$D$1</c:f>
              <c:strCache>
                <c:ptCount val="1"/>
                <c:pt idx="0">
                  <c:v>Total Balance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May!$A$2:$A$622</c:f>
              <c:numCache>
                <c:formatCode>d\-mmm</c:formatCode>
                <c:ptCount val="621"/>
              </c:numCache>
            </c:numRef>
          </c:xVal>
          <c:yVal>
            <c:numRef>
              <c:f>May!$D$2:$D$622</c:f>
              <c:numCache>
                <c:formatCode>_("$"* #,##0.00_);_("$"* \(#,##0.00\);_("$"* "-"??_);_(@_)</c:formatCode>
                <c:ptCount val="6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numCache>
            </c:numRef>
          </c:yVal>
          <c:smooth val="1"/>
          <c:extLst>
            <c:ext xmlns:c16="http://schemas.microsoft.com/office/drawing/2014/chart" uri="{C3380CC4-5D6E-409C-BE32-E72D297353CC}">
              <c16:uniqueId val="{00000000-CEA9-4253-93C2-94A6FDC28949}"/>
            </c:ext>
          </c:extLst>
        </c:ser>
        <c:dLbls>
          <c:showLegendKey val="0"/>
          <c:showVal val="0"/>
          <c:showCatName val="0"/>
          <c:showSerName val="0"/>
          <c:showPercent val="0"/>
          <c:showBubbleSize val="0"/>
        </c:dLbls>
        <c:axId val="47189135"/>
        <c:axId val="218938959"/>
      </c:scatterChart>
      <c:valAx>
        <c:axId val="47189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d\-mmm"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938959"/>
        <c:crosses val="autoZero"/>
        <c:crossBetween val="midCat"/>
      </c:valAx>
      <c:valAx>
        <c:axId val="218938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a:t>
                </a:r>
                <a:r>
                  <a:rPr lang="en-CA" baseline="0"/>
                  <a:t> Baalnce</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1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Daily</a:t>
            </a:r>
            <a:r>
              <a:rPr lang="en-US" baseline="0"/>
              <a:t> Spending</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May!$B$1</c:f>
              <c:strCache>
                <c:ptCount val="1"/>
                <c:pt idx="0">
                  <c:v> Value </c:v>
                </c:pt>
              </c:strCache>
            </c:strRef>
          </c:tx>
          <c:spPr>
            <a:solidFill>
              <a:schemeClr val="accent4">
                <a:lumMod val="40000"/>
                <a:lumOff val="60000"/>
              </a:schemeClr>
            </a:solidFill>
            <a:ln>
              <a:noFill/>
            </a:ln>
            <a:effectLst/>
          </c:spPr>
          <c:invertIfNegative val="0"/>
          <c:cat>
            <c:numRef>
              <c:f>May!$A$2:$A$622</c:f>
              <c:numCache>
                <c:formatCode>d\-mmm</c:formatCode>
                <c:ptCount val="621"/>
              </c:numCache>
            </c:numRef>
          </c:cat>
          <c:val>
            <c:numRef>
              <c:f>May!$B$2:$B$622</c:f>
              <c:numCache>
                <c:formatCode>_("$"* #,##0.00_);_("$"* \(#,##0.00\);_("$"* "-"??_);_(@_)</c:formatCode>
                <c:ptCount val="621"/>
              </c:numCache>
            </c:numRef>
          </c:val>
          <c:extLst>
            <c:ext xmlns:c16="http://schemas.microsoft.com/office/drawing/2014/chart" uri="{C3380CC4-5D6E-409C-BE32-E72D297353CC}">
              <c16:uniqueId val="{00000000-6C5E-4EE6-9A06-9964BD3159E5}"/>
            </c:ext>
          </c:extLst>
        </c:ser>
        <c:dLbls>
          <c:showLegendKey val="0"/>
          <c:showVal val="0"/>
          <c:showCatName val="0"/>
          <c:showSerName val="0"/>
          <c:showPercent val="0"/>
          <c:showBubbleSize val="0"/>
        </c:dLbls>
        <c:gapWidth val="219"/>
        <c:overlap val="-27"/>
        <c:axId val="1404451775"/>
        <c:axId val="1406535215"/>
      </c:barChart>
      <c:catAx>
        <c:axId val="1404451775"/>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535215"/>
        <c:crosses val="autoZero"/>
        <c:auto val="1"/>
        <c:lblAlgn val="ctr"/>
        <c:lblOffset val="100"/>
        <c:noMultiLvlLbl val="1"/>
      </c:catAx>
      <c:valAx>
        <c:axId val="14065352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451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Spending</a:t>
            </a:r>
            <a:r>
              <a:rPr lang="en-CA" baseline="0"/>
              <a:t> Based on Categories for November</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3F-4ACA-BDA5-5570CC7D9F9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3F-4ACA-BDA5-5570CC7D9F9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3F-4ACA-BDA5-5570CC7D9F9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3F-4ACA-BDA5-5570CC7D9F97}"/>
              </c:ext>
            </c:extLst>
          </c:dPt>
          <c:dPt>
            <c:idx val="4"/>
            <c:bubble3D val="0"/>
            <c:spPr>
              <a:solidFill>
                <a:schemeClr val="accent5"/>
              </a:solidFill>
              <a:ln w="19050">
                <a:solidFill>
                  <a:srgbClr val="FF0000"/>
                </a:solidFill>
              </a:ln>
              <a:effectLst/>
            </c:spPr>
            <c:extLst>
              <c:ext xmlns:c16="http://schemas.microsoft.com/office/drawing/2014/chart" uri="{C3380CC4-5D6E-409C-BE32-E72D297353CC}">
                <c16:uniqueId val="{00000009-6E3F-4ACA-BDA5-5570CC7D9F9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A6-4EF2-B598-425410E30070}"/>
              </c:ext>
            </c:extLst>
          </c:dPt>
          <c:cat>
            <c:strRef>
              <c:f>May!$CA$1:$CA$6</c:f>
              <c:strCache>
                <c:ptCount val="6"/>
                <c:pt idx="0">
                  <c:v>Food</c:v>
                </c:pt>
                <c:pt idx="1">
                  <c:v>Entertainment</c:v>
                </c:pt>
                <c:pt idx="2">
                  <c:v>Subscriptions</c:v>
                </c:pt>
                <c:pt idx="3">
                  <c:v>School</c:v>
                </c:pt>
                <c:pt idx="4">
                  <c:v>Housing</c:v>
                </c:pt>
                <c:pt idx="5">
                  <c:v>Other</c:v>
                </c:pt>
              </c:strCache>
            </c:strRef>
          </c:cat>
          <c:val>
            <c:numRef>
              <c:f>May!$CB$1:$CB$6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6E3F-4ACA-BDA5-5570CC7D9F9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xdr:from>
      <xdr:col>1</xdr:col>
      <xdr:colOff>505944</xdr:colOff>
      <xdr:row>1</xdr:row>
      <xdr:rowOff>31810</xdr:rowOff>
    </xdr:from>
    <xdr:to>
      <xdr:col>10</xdr:col>
      <xdr:colOff>190742</xdr:colOff>
      <xdr:row>6</xdr:row>
      <xdr:rowOff>100390</xdr:rowOff>
    </xdr:to>
    <xdr:sp macro="" textlink="">
      <xdr:nvSpPr>
        <xdr:cNvPr id="2" name="Rectangle 1">
          <a:extLst>
            <a:ext uri="{FF2B5EF4-FFF2-40B4-BE49-F238E27FC236}">
              <a16:creationId xmlns:a16="http://schemas.microsoft.com/office/drawing/2014/main" id="{A710E06A-DD12-C6E2-6F7B-D9BB1352BB2A}"/>
            </a:ext>
          </a:extLst>
        </xdr:cNvPr>
        <xdr:cNvSpPr/>
      </xdr:nvSpPr>
      <xdr:spPr>
        <a:xfrm>
          <a:off x="1110706" y="213239"/>
          <a:ext cx="5127655" cy="975722"/>
        </a:xfrm>
        <a:prstGeom prst="rect">
          <a:avLst/>
        </a:prstGeom>
        <a:solidFill>
          <a:srgbClr val="09F3FF">
            <a:alpha val="43922"/>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4800">
              <a:solidFill>
                <a:sysClr val="windowText" lastClr="000000"/>
              </a:solidFill>
              <a:latin typeface="Aharoni" panose="02010803020104030203" pitchFamily="2" charset="-79"/>
              <a:cs typeface="Aharoni" panose="02010803020104030203" pitchFamily="2" charset="-79"/>
            </a:rPr>
            <a:t>General</a:t>
          </a:r>
          <a:r>
            <a:rPr lang="en-CA" sz="4800" baseline="0">
              <a:solidFill>
                <a:sysClr val="windowText" lastClr="000000"/>
              </a:solidFill>
              <a:latin typeface="Aharoni" panose="02010803020104030203" pitchFamily="2" charset="-79"/>
              <a:cs typeface="Aharoni" panose="02010803020104030203" pitchFamily="2" charset="-79"/>
            </a:rPr>
            <a:t> Page </a:t>
          </a:r>
          <a:endParaRPr lang="en-CA" sz="4800">
            <a:latin typeface="Algerian" panose="04020705040A02060702" pitchFamily="82" charset="0"/>
          </a:endParaRPr>
        </a:p>
      </xdr:txBody>
    </xdr:sp>
    <xdr:clientData/>
  </xdr:twoCellAnchor>
  <xdr:twoCellAnchor>
    <xdr:from>
      <xdr:col>1</xdr:col>
      <xdr:colOff>394854</xdr:colOff>
      <xdr:row>8</xdr:row>
      <xdr:rowOff>41563</xdr:rowOff>
    </xdr:from>
    <xdr:to>
      <xdr:col>9</xdr:col>
      <xdr:colOff>90054</xdr:colOff>
      <xdr:row>23</xdr:row>
      <xdr:rowOff>83127</xdr:rowOff>
    </xdr:to>
    <xdr:graphicFrame macro="">
      <xdr:nvGraphicFramePr>
        <xdr:cNvPr id="4" name="Chart 3">
          <a:extLst>
            <a:ext uri="{FF2B5EF4-FFF2-40B4-BE49-F238E27FC236}">
              <a16:creationId xmlns:a16="http://schemas.microsoft.com/office/drawing/2014/main" id="{FDB1B194-7426-7DF6-93B4-D817F8A29F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318152</xdr:colOff>
      <xdr:row>7</xdr:row>
      <xdr:rowOff>168965</xdr:rowOff>
    </xdr:from>
    <xdr:to>
      <xdr:col>13</xdr:col>
      <xdr:colOff>439630</xdr:colOff>
      <xdr:row>11</xdr:row>
      <xdr:rowOff>102704</xdr:rowOff>
    </xdr:to>
    <xdr:sp macro="[0]!Sheet8.OpenCalculatorForm" textlink="">
      <xdr:nvSpPr>
        <xdr:cNvPr id="5" name="Rectangle 4">
          <a:extLst>
            <a:ext uri="{FF2B5EF4-FFF2-40B4-BE49-F238E27FC236}">
              <a16:creationId xmlns:a16="http://schemas.microsoft.com/office/drawing/2014/main" id="{FAFC842F-4863-0B4F-B213-37F553602F71}"/>
            </a:ext>
          </a:extLst>
        </xdr:cNvPr>
        <xdr:cNvSpPr/>
      </xdr:nvSpPr>
      <xdr:spPr>
        <a:xfrm>
          <a:off x="7049152" y="1808420"/>
          <a:ext cx="2765387" cy="672648"/>
        </a:xfrm>
        <a:prstGeom prst="rect">
          <a:avLst/>
        </a:prstGeom>
        <a:solidFill>
          <a:srgbClr val="09F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a:solidFill>
                <a:sysClr val="windowText" lastClr="000000"/>
              </a:solidFill>
              <a:latin typeface="Aharoni" panose="02010803020104030203" pitchFamily="2" charset="-79"/>
              <a:cs typeface="Aharoni" panose="02010803020104030203" pitchFamily="2" charset="-79"/>
            </a:rPr>
            <a:t>CALCULATOR</a:t>
          </a:r>
        </a:p>
      </xdr:txBody>
    </xdr:sp>
    <xdr:clientData/>
  </xdr:twoCellAnchor>
  <xdr:twoCellAnchor>
    <xdr:from>
      <xdr:col>11</xdr:col>
      <xdr:colOff>290946</xdr:colOff>
      <xdr:row>2</xdr:row>
      <xdr:rowOff>187157</xdr:rowOff>
    </xdr:from>
    <xdr:to>
      <xdr:col>13</xdr:col>
      <xdr:colOff>429491</xdr:colOff>
      <xdr:row>7</xdr:row>
      <xdr:rowOff>69271</xdr:rowOff>
    </xdr:to>
    <xdr:sp macro="[0]!Sheet8.Instructions" textlink="">
      <xdr:nvSpPr>
        <xdr:cNvPr id="3" name="Rectangle 2">
          <a:extLst>
            <a:ext uri="{FF2B5EF4-FFF2-40B4-BE49-F238E27FC236}">
              <a16:creationId xmlns:a16="http://schemas.microsoft.com/office/drawing/2014/main" id="{2B329C7B-91D4-438C-681B-E837A06285EA}"/>
            </a:ext>
          </a:extLst>
        </xdr:cNvPr>
        <xdr:cNvSpPr/>
      </xdr:nvSpPr>
      <xdr:spPr>
        <a:xfrm>
          <a:off x="7055367" y="895683"/>
          <a:ext cx="2785492" cy="817904"/>
        </a:xfrm>
        <a:prstGeom prst="rect">
          <a:avLst/>
        </a:prstGeom>
        <a:solidFill>
          <a:srgbClr val="09F3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800" b="1">
              <a:solidFill>
                <a:sysClr val="windowText" lastClr="000000"/>
              </a:solidFill>
              <a:latin typeface="Aharoni" panose="02010803020104030203" pitchFamily="2" charset="-79"/>
              <a:cs typeface="Aharoni" panose="02010803020104030203" pitchFamily="2" charset="-79"/>
            </a:rPr>
            <a:t>Instruction</a:t>
          </a:r>
          <a:r>
            <a:rPr lang="en-CA" sz="2800" b="1">
              <a:solidFill>
                <a:sysClr val="windowText" lastClr="000000"/>
              </a:solidFill>
            </a:rPr>
            <a:t>s</a:t>
          </a:r>
        </a:p>
      </xdr:txBody>
    </xdr:sp>
    <xdr:clientData/>
  </xdr:twoCellAnchor>
  <xdr:twoCellAnchor>
    <xdr:from>
      <xdr:col>9</xdr:col>
      <xdr:colOff>436419</xdr:colOff>
      <xdr:row>15</xdr:row>
      <xdr:rowOff>83127</xdr:rowOff>
    </xdr:from>
    <xdr:to>
      <xdr:col>14</xdr:col>
      <xdr:colOff>547255</xdr:colOff>
      <xdr:row>30</xdr:row>
      <xdr:rowOff>124691</xdr:rowOff>
    </xdr:to>
    <xdr:graphicFrame macro="">
      <xdr:nvGraphicFramePr>
        <xdr:cNvPr id="7" name="Chart 6">
          <a:extLst>
            <a:ext uri="{FF2B5EF4-FFF2-40B4-BE49-F238E27FC236}">
              <a16:creationId xmlns:a16="http://schemas.microsoft.com/office/drawing/2014/main" id="{DA8E2E98-6EEE-3F40-75EA-C54F17813F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338751</xdr:colOff>
      <xdr:row>24</xdr:row>
      <xdr:rowOff>140982</xdr:rowOff>
    </xdr:from>
    <xdr:to>
      <xdr:col>9</xdr:col>
      <xdr:colOff>2284</xdr:colOff>
      <xdr:row>40</xdr:row>
      <xdr:rowOff>24665</xdr:rowOff>
    </xdr:to>
    <xdr:graphicFrame macro="">
      <xdr:nvGraphicFramePr>
        <xdr:cNvPr id="10" name="Chart 9">
          <a:extLst>
            <a:ext uri="{FF2B5EF4-FFF2-40B4-BE49-F238E27FC236}">
              <a16:creationId xmlns:a16="http://schemas.microsoft.com/office/drawing/2014/main" id="{98A1708B-3648-D38C-AAE9-92279DB424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358140</xdr:colOff>
      <xdr:row>3</xdr:row>
      <xdr:rowOff>15240</xdr:rowOff>
    </xdr:from>
    <xdr:to>
      <xdr:col>4</xdr:col>
      <xdr:colOff>45720</xdr:colOff>
      <xdr:row>7</xdr:row>
      <xdr:rowOff>137160</xdr:rowOff>
    </xdr:to>
    <xdr:sp macro="[0]!Sheet2.OpenNotepadUserForm" textlink="">
      <xdr:nvSpPr>
        <xdr:cNvPr id="2" name="Rectangle 1">
          <a:extLst>
            <a:ext uri="{FF2B5EF4-FFF2-40B4-BE49-F238E27FC236}">
              <a16:creationId xmlns:a16="http://schemas.microsoft.com/office/drawing/2014/main" id="{3E18AD78-F379-AFB8-1E04-E0AF164F8C56}"/>
            </a:ext>
          </a:extLst>
        </xdr:cNvPr>
        <xdr:cNvSpPr/>
      </xdr:nvSpPr>
      <xdr:spPr>
        <a:xfrm>
          <a:off x="9060180" y="678180"/>
          <a:ext cx="1516380" cy="853440"/>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solidFill>
                <a:sysClr val="windowText" lastClr="000000"/>
              </a:solidFill>
              <a:latin typeface="Aharoni" panose="02010803020104030203" pitchFamily="2" charset="-79"/>
              <a:cs typeface="Aharoni" panose="02010803020104030203" pitchFamily="2" charset="-79"/>
            </a:rPr>
            <a:t>Open NotePad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OpenMonth1Form" textlink="">
      <xdr:nvSpPr>
        <xdr:cNvPr id="2" name="Rectangle 1">
          <a:extLst>
            <a:ext uri="{FF2B5EF4-FFF2-40B4-BE49-F238E27FC236}">
              <a16:creationId xmlns:a16="http://schemas.microsoft.com/office/drawing/2014/main" id="{A15D8014-5321-2B70-EEA7-C3EFB1DD1750}"/>
            </a:ext>
          </a:extLst>
        </xdr:cNvPr>
        <xdr:cNvSpPr/>
      </xdr:nvSpPr>
      <xdr:spPr>
        <a:xfrm>
          <a:off x="7456029" y="1127195"/>
          <a:ext cx="3514231" cy="741398"/>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350C6A83-278E-7218-9E36-7065E01B63C1}"/>
            </a:ext>
          </a:extLst>
        </xdr:cNvPr>
        <xdr:cNvSpPr/>
      </xdr:nvSpPr>
      <xdr:spPr>
        <a:xfrm>
          <a:off x="11639139" y="816128"/>
          <a:ext cx="1536004" cy="1284111"/>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9" name="Chart 8">
          <a:extLst>
            <a:ext uri="{FF2B5EF4-FFF2-40B4-BE49-F238E27FC236}">
              <a16:creationId xmlns:a16="http://schemas.microsoft.com/office/drawing/2014/main" id="{CE55102F-4DF8-0ACC-B7F5-C10C858572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4" name="Chart 3">
          <a:extLst>
            <a:ext uri="{FF2B5EF4-FFF2-40B4-BE49-F238E27FC236}">
              <a16:creationId xmlns:a16="http://schemas.microsoft.com/office/drawing/2014/main" id="{94792600-BC47-7219-07D2-785E06CB44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5" name="Chart 4">
          <a:extLst>
            <a:ext uri="{FF2B5EF4-FFF2-40B4-BE49-F238E27FC236}">
              <a16:creationId xmlns:a16="http://schemas.microsoft.com/office/drawing/2014/main" id="{B005EF12-179A-BB14-346B-66CAB1A0B5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0.OpenMonth2Form" textlink="">
      <xdr:nvSpPr>
        <xdr:cNvPr id="2" name="Rectangle 1">
          <a:extLst>
            <a:ext uri="{FF2B5EF4-FFF2-40B4-BE49-F238E27FC236}">
              <a16:creationId xmlns:a16="http://schemas.microsoft.com/office/drawing/2014/main" id="{9BAFC9E8-696A-440B-B7F0-8DA00160F526}"/>
            </a:ext>
          </a:extLst>
        </xdr:cNvPr>
        <xdr:cNvSpPr/>
      </xdr:nvSpPr>
      <xdr:spPr>
        <a:xfrm>
          <a:off x="7451796" y="1126631"/>
          <a:ext cx="3520440" cy="738575"/>
        </a:xfrm>
        <a:prstGeom prst="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1C1D71C8-F500-4176-9662-A8E4AF3664AA}"/>
            </a:ext>
          </a:extLst>
        </xdr:cNvPr>
        <xdr:cNvSpPr/>
      </xdr:nvSpPr>
      <xdr:spPr>
        <a:xfrm>
          <a:off x="11643937" y="816128"/>
          <a:ext cx="1544470" cy="1280160"/>
        </a:xfrm>
        <a:prstGeom prst="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4" name="Chart 3">
          <a:extLst>
            <a:ext uri="{FF2B5EF4-FFF2-40B4-BE49-F238E27FC236}">
              <a16:creationId xmlns:a16="http://schemas.microsoft.com/office/drawing/2014/main" id="{C74AE53A-E611-4556-A35D-16757219BF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5" name="Chart 4">
          <a:extLst>
            <a:ext uri="{FF2B5EF4-FFF2-40B4-BE49-F238E27FC236}">
              <a16:creationId xmlns:a16="http://schemas.microsoft.com/office/drawing/2014/main" id="{693E37C6-03BD-44F6-B986-1A486856E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6" name="Chart 5">
          <a:extLst>
            <a:ext uri="{FF2B5EF4-FFF2-40B4-BE49-F238E27FC236}">
              <a16:creationId xmlns:a16="http://schemas.microsoft.com/office/drawing/2014/main" id="{C9519FE2-5C45-4B53-8E62-41FFDB9396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1.OpenMonth3Form" textlink="">
      <xdr:nvSpPr>
        <xdr:cNvPr id="2" name="Rectangle 1">
          <a:extLst>
            <a:ext uri="{FF2B5EF4-FFF2-40B4-BE49-F238E27FC236}">
              <a16:creationId xmlns:a16="http://schemas.microsoft.com/office/drawing/2014/main" id="{683C4C6A-F2FA-4A02-83AB-DEC44DE6EDA5}"/>
            </a:ext>
          </a:extLst>
        </xdr:cNvPr>
        <xdr:cNvSpPr/>
      </xdr:nvSpPr>
      <xdr:spPr>
        <a:xfrm>
          <a:off x="7451796" y="1126631"/>
          <a:ext cx="3520440" cy="738575"/>
        </a:xfrm>
        <a:prstGeom prst="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66C91940-F742-4660-A9EB-772FD533103A}"/>
            </a:ext>
          </a:extLst>
        </xdr:cNvPr>
        <xdr:cNvSpPr/>
      </xdr:nvSpPr>
      <xdr:spPr>
        <a:xfrm>
          <a:off x="11643937" y="816128"/>
          <a:ext cx="1544470" cy="1280160"/>
        </a:xfrm>
        <a:prstGeom prst="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4" name="Chart 3">
          <a:extLst>
            <a:ext uri="{FF2B5EF4-FFF2-40B4-BE49-F238E27FC236}">
              <a16:creationId xmlns:a16="http://schemas.microsoft.com/office/drawing/2014/main" id="{B8A2AD36-963C-46FC-8D5E-02A871D38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5" name="Chart 4">
          <a:extLst>
            <a:ext uri="{FF2B5EF4-FFF2-40B4-BE49-F238E27FC236}">
              <a16:creationId xmlns:a16="http://schemas.microsoft.com/office/drawing/2014/main" id="{06D44982-CCC0-4FC6-8190-936767F128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6" name="Chart 5">
          <a:extLst>
            <a:ext uri="{FF2B5EF4-FFF2-40B4-BE49-F238E27FC236}">
              <a16:creationId xmlns:a16="http://schemas.microsoft.com/office/drawing/2014/main" id="{690E7F91-924D-4E93-83F4-A467AF9E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2.OpenMonth4Form" textlink="">
      <xdr:nvSpPr>
        <xdr:cNvPr id="2" name="Rectangle 1">
          <a:extLst>
            <a:ext uri="{FF2B5EF4-FFF2-40B4-BE49-F238E27FC236}">
              <a16:creationId xmlns:a16="http://schemas.microsoft.com/office/drawing/2014/main" id="{DB8752FF-3D80-468F-ADE5-766049CBFFDF}"/>
            </a:ext>
          </a:extLst>
        </xdr:cNvPr>
        <xdr:cNvSpPr/>
      </xdr:nvSpPr>
      <xdr:spPr>
        <a:xfrm>
          <a:off x="7451796" y="1126631"/>
          <a:ext cx="3520440" cy="738575"/>
        </a:xfrm>
        <a:prstGeom prst="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EAE5B381-CD80-4B8F-BC74-B22095D4A84F}"/>
            </a:ext>
          </a:extLst>
        </xdr:cNvPr>
        <xdr:cNvSpPr/>
      </xdr:nvSpPr>
      <xdr:spPr>
        <a:xfrm>
          <a:off x="11643937" y="816128"/>
          <a:ext cx="1544470" cy="1280160"/>
        </a:xfrm>
        <a:prstGeom prst="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4" name="Chart 3">
          <a:extLst>
            <a:ext uri="{FF2B5EF4-FFF2-40B4-BE49-F238E27FC236}">
              <a16:creationId xmlns:a16="http://schemas.microsoft.com/office/drawing/2014/main" id="{9DAF083F-1E7B-4D0E-86D2-773E9E0A2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5" name="Chart 4">
          <a:extLst>
            <a:ext uri="{FF2B5EF4-FFF2-40B4-BE49-F238E27FC236}">
              <a16:creationId xmlns:a16="http://schemas.microsoft.com/office/drawing/2014/main" id="{1A6647C6-7589-42A9-9F00-616D7E3C1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6" name="Chart 5">
          <a:extLst>
            <a:ext uri="{FF2B5EF4-FFF2-40B4-BE49-F238E27FC236}">
              <a16:creationId xmlns:a16="http://schemas.microsoft.com/office/drawing/2014/main" id="{4E7BAE20-88B3-48D2-8092-B1E248F25A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3.OpenMonth5Form" textlink="">
      <xdr:nvSpPr>
        <xdr:cNvPr id="2" name="Rectangle 1">
          <a:extLst>
            <a:ext uri="{FF2B5EF4-FFF2-40B4-BE49-F238E27FC236}">
              <a16:creationId xmlns:a16="http://schemas.microsoft.com/office/drawing/2014/main" id="{B6366DF7-9A87-4F66-8049-FB578F16093E}"/>
            </a:ext>
          </a:extLst>
        </xdr:cNvPr>
        <xdr:cNvSpPr/>
      </xdr:nvSpPr>
      <xdr:spPr>
        <a:xfrm>
          <a:off x="7451796" y="1126631"/>
          <a:ext cx="3520440" cy="738575"/>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3266D87A-EA7A-4643-9911-556C4BE07535}"/>
            </a:ext>
          </a:extLst>
        </xdr:cNvPr>
        <xdr:cNvSpPr/>
      </xdr:nvSpPr>
      <xdr:spPr>
        <a:xfrm>
          <a:off x="11643937" y="816128"/>
          <a:ext cx="1544470" cy="128016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4" name="Chart 3">
          <a:extLst>
            <a:ext uri="{FF2B5EF4-FFF2-40B4-BE49-F238E27FC236}">
              <a16:creationId xmlns:a16="http://schemas.microsoft.com/office/drawing/2014/main" id="{A38481A3-C9CE-4F45-9674-DEF2416D65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5" name="Chart 4">
          <a:extLst>
            <a:ext uri="{FF2B5EF4-FFF2-40B4-BE49-F238E27FC236}">
              <a16:creationId xmlns:a16="http://schemas.microsoft.com/office/drawing/2014/main" id="{F40AC93B-6975-40FE-949B-EF738AFF31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6" name="Chart 5">
          <a:extLst>
            <a:ext uri="{FF2B5EF4-FFF2-40B4-BE49-F238E27FC236}">
              <a16:creationId xmlns:a16="http://schemas.microsoft.com/office/drawing/2014/main" id="{134CC9AA-CEA7-4E62-B2AC-ACC917BF2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4.OpenMonth6Form" textlink="">
      <xdr:nvSpPr>
        <xdr:cNvPr id="2" name="Rectangle 1">
          <a:extLst>
            <a:ext uri="{FF2B5EF4-FFF2-40B4-BE49-F238E27FC236}">
              <a16:creationId xmlns:a16="http://schemas.microsoft.com/office/drawing/2014/main" id="{0BDADD59-0407-433C-967C-A1D36FEBCB76}"/>
            </a:ext>
          </a:extLst>
        </xdr:cNvPr>
        <xdr:cNvSpPr/>
      </xdr:nvSpPr>
      <xdr:spPr>
        <a:xfrm>
          <a:off x="7451796" y="1126631"/>
          <a:ext cx="3520440" cy="738575"/>
        </a:xfrm>
        <a:prstGeom prst="rect">
          <a:avLst/>
        </a:prstGeom>
        <a:solidFill>
          <a:srgbClr val="FEDCF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EDCEBD70-C174-42AD-BE89-934F6962FC02}"/>
            </a:ext>
          </a:extLst>
        </xdr:cNvPr>
        <xdr:cNvSpPr/>
      </xdr:nvSpPr>
      <xdr:spPr>
        <a:xfrm>
          <a:off x="11643937" y="816128"/>
          <a:ext cx="1544470" cy="1280160"/>
        </a:xfrm>
        <a:prstGeom prst="rect">
          <a:avLst/>
        </a:prstGeom>
        <a:solidFill>
          <a:srgbClr val="FEDCF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4" name="Chart 3">
          <a:extLst>
            <a:ext uri="{FF2B5EF4-FFF2-40B4-BE49-F238E27FC236}">
              <a16:creationId xmlns:a16="http://schemas.microsoft.com/office/drawing/2014/main" id="{9CEE7CB7-58F7-43EE-8BA1-4ED744DD00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5" name="Chart 4">
          <a:extLst>
            <a:ext uri="{FF2B5EF4-FFF2-40B4-BE49-F238E27FC236}">
              <a16:creationId xmlns:a16="http://schemas.microsoft.com/office/drawing/2014/main" id="{725B3C14-DCE8-45B9-9EFD-F5F9E735A5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6" name="Chart 5">
          <a:extLst>
            <a:ext uri="{FF2B5EF4-FFF2-40B4-BE49-F238E27FC236}">
              <a16:creationId xmlns:a16="http://schemas.microsoft.com/office/drawing/2014/main" id="{8FA82E00-02E5-417D-9179-759618C6D9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5.OpenMonth7Form" textlink="">
      <xdr:nvSpPr>
        <xdr:cNvPr id="2" name="Rectangle 1">
          <a:extLst>
            <a:ext uri="{FF2B5EF4-FFF2-40B4-BE49-F238E27FC236}">
              <a16:creationId xmlns:a16="http://schemas.microsoft.com/office/drawing/2014/main" id="{62A8DC72-C904-4086-9906-17F2FDCCD675}"/>
            </a:ext>
          </a:extLst>
        </xdr:cNvPr>
        <xdr:cNvSpPr/>
      </xdr:nvSpPr>
      <xdr:spPr>
        <a:xfrm>
          <a:off x="7451796" y="1126631"/>
          <a:ext cx="3520440" cy="738575"/>
        </a:xfrm>
        <a:prstGeom prst="rect">
          <a:avLst/>
        </a:prstGeom>
        <a:solidFill>
          <a:srgbClr val="FEAC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C55BE2C7-9BE3-4866-A3DC-5B123718DE1C}"/>
            </a:ext>
          </a:extLst>
        </xdr:cNvPr>
        <xdr:cNvSpPr/>
      </xdr:nvSpPr>
      <xdr:spPr>
        <a:xfrm>
          <a:off x="11643937" y="816128"/>
          <a:ext cx="1544470" cy="1280160"/>
        </a:xfrm>
        <a:prstGeom prst="rect">
          <a:avLst/>
        </a:prstGeom>
        <a:solidFill>
          <a:srgbClr val="FEAC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4" name="Chart 3">
          <a:extLst>
            <a:ext uri="{FF2B5EF4-FFF2-40B4-BE49-F238E27FC236}">
              <a16:creationId xmlns:a16="http://schemas.microsoft.com/office/drawing/2014/main" id="{18E47555-DD86-4F9D-B598-95270BA58A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5" name="Chart 4">
          <a:extLst>
            <a:ext uri="{FF2B5EF4-FFF2-40B4-BE49-F238E27FC236}">
              <a16:creationId xmlns:a16="http://schemas.microsoft.com/office/drawing/2014/main" id="{B3AA8198-1A71-4DDC-A1EB-A0473D3612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6" name="Chart 5">
          <a:extLst>
            <a:ext uri="{FF2B5EF4-FFF2-40B4-BE49-F238E27FC236}">
              <a16:creationId xmlns:a16="http://schemas.microsoft.com/office/drawing/2014/main" id="{EE774D21-22B5-459E-B835-14444793E3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6.OpenMonth8Form" textlink="">
      <xdr:nvSpPr>
        <xdr:cNvPr id="2" name="Rectangle 1">
          <a:extLst>
            <a:ext uri="{FF2B5EF4-FFF2-40B4-BE49-F238E27FC236}">
              <a16:creationId xmlns:a16="http://schemas.microsoft.com/office/drawing/2014/main" id="{91B494D8-DCE9-4C1F-AC87-1BCD38F9CA44}"/>
            </a:ext>
          </a:extLst>
        </xdr:cNvPr>
        <xdr:cNvSpPr/>
      </xdr:nvSpPr>
      <xdr:spPr>
        <a:xfrm>
          <a:off x="7451796" y="1126631"/>
          <a:ext cx="3520440" cy="738575"/>
        </a:xfrm>
        <a:prstGeom prst="rect">
          <a:avLst/>
        </a:prstGeom>
        <a:solidFill>
          <a:srgbClr val="BCB5F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38A4A5C6-5365-485C-9634-81FE20F6EEF5}"/>
            </a:ext>
          </a:extLst>
        </xdr:cNvPr>
        <xdr:cNvSpPr/>
      </xdr:nvSpPr>
      <xdr:spPr>
        <a:xfrm>
          <a:off x="11643937" y="816128"/>
          <a:ext cx="1544470" cy="1280160"/>
        </a:xfrm>
        <a:prstGeom prst="rect">
          <a:avLst/>
        </a:prstGeom>
        <a:solidFill>
          <a:srgbClr val="BCB5F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4" name="Chart 3">
          <a:extLst>
            <a:ext uri="{FF2B5EF4-FFF2-40B4-BE49-F238E27FC236}">
              <a16:creationId xmlns:a16="http://schemas.microsoft.com/office/drawing/2014/main" id="{3727BE55-EBFC-4550-A012-CEB5D3658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5" name="Chart 4">
          <a:extLst>
            <a:ext uri="{FF2B5EF4-FFF2-40B4-BE49-F238E27FC236}">
              <a16:creationId xmlns:a16="http://schemas.microsoft.com/office/drawing/2014/main" id="{D4AA677C-56F7-41BE-BC95-7E9DC0A6FC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6" name="Chart 5">
          <a:extLst>
            <a:ext uri="{FF2B5EF4-FFF2-40B4-BE49-F238E27FC236}">
              <a16:creationId xmlns:a16="http://schemas.microsoft.com/office/drawing/2014/main" id="{0CAF754A-5FFD-45AC-A316-360D59651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555696</xdr:colOff>
      <xdr:row>3</xdr:row>
      <xdr:rowOff>181751</xdr:rowOff>
    </xdr:from>
    <xdr:to>
      <xdr:col>8</xdr:col>
      <xdr:colOff>372816</xdr:colOff>
      <xdr:row>8</xdr:row>
      <xdr:rowOff>5926</xdr:rowOff>
    </xdr:to>
    <xdr:sp macro="[0]!Sheet17.OpenMonth9Form" textlink="">
      <xdr:nvSpPr>
        <xdr:cNvPr id="2" name="Rectangle 1">
          <a:extLst>
            <a:ext uri="{FF2B5EF4-FFF2-40B4-BE49-F238E27FC236}">
              <a16:creationId xmlns:a16="http://schemas.microsoft.com/office/drawing/2014/main" id="{AE78CE09-EA00-45A5-94B7-DCBAB7CA72DB}"/>
            </a:ext>
          </a:extLst>
        </xdr:cNvPr>
        <xdr:cNvSpPr/>
      </xdr:nvSpPr>
      <xdr:spPr>
        <a:xfrm>
          <a:off x="7451796" y="1126631"/>
          <a:ext cx="3520440" cy="738575"/>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0" cap="none" spc="0">
              <a:ln w="0"/>
              <a:solidFill>
                <a:sysClr val="windowText" lastClr="000000"/>
              </a:solidFill>
              <a:effectLst>
                <a:outerShdw blurRad="38100" dist="19050" dir="2700000" algn="tl" rotWithShape="0">
                  <a:schemeClr val="dk1">
                    <a:alpha val="40000"/>
                  </a:schemeClr>
                </a:outerShdw>
              </a:effectLst>
            </a:rPr>
            <a:t>Finance</a:t>
          </a:r>
          <a:r>
            <a:rPr lang="en-CA" sz="2000" b="0" cap="none" spc="0" baseline="0">
              <a:ln w="0"/>
              <a:solidFill>
                <a:sysClr val="windowText" lastClr="000000"/>
              </a:solidFill>
              <a:effectLst>
                <a:outerShdw blurRad="38100" dist="19050" dir="2700000" algn="tl" rotWithShape="0">
                  <a:schemeClr val="dk1">
                    <a:alpha val="40000"/>
                  </a:schemeClr>
                </a:outerShdw>
              </a:effectLst>
            </a:rPr>
            <a:t> Form</a:t>
          </a:r>
          <a:endParaRPr lang="en-CA" sz="2000" b="0" cap="none" spc="0">
            <a:ln w="0"/>
            <a:solidFill>
              <a:sysClr val="windowText" lastClr="000000"/>
            </a:solidFill>
            <a:effectLst>
              <a:outerShdw blurRad="38100" dist="19050" dir="2700000" algn="tl" rotWithShape="0">
                <a:schemeClr val="dk1">
                  <a:alpha val="40000"/>
                </a:schemeClr>
              </a:outerShdw>
            </a:effectLst>
          </a:endParaRPr>
        </a:p>
      </xdr:txBody>
    </xdr:sp>
    <xdr:clientData/>
  </xdr:twoCellAnchor>
  <xdr:twoCellAnchor>
    <xdr:from>
      <xdr:col>9</xdr:col>
      <xdr:colOff>434917</xdr:colOff>
      <xdr:row>2</xdr:row>
      <xdr:rowOff>54128</xdr:rowOff>
    </xdr:from>
    <xdr:to>
      <xdr:col>12</xdr:col>
      <xdr:colOff>150587</xdr:colOff>
      <xdr:row>9</xdr:row>
      <xdr:rowOff>54128</xdr:rowOff>
    </xdr:to>
    <xdr:sp macro="[0]!Sheet1.FinancialAdviceMacro" textlink="">
      <xdr:nvSpPr>
        <xdr:cNvPr id="3" name="Rectangle 2">
          <a:extLst>
            <a:ext uri="{FF2B5EF4-FFF2-40B4-BE49-F238E27FC236}">
              <a16:creationId xmlns:a16="http://schemas.microsoft.com/office/drawing/2014/main" id="{04DA863F-C1D4-4905-8466-9645B0E435FE}"/>
            </a:ext>
          </a:extLst>
        </xdr:cNvPr>
        <xdr:cNvSpPr/>
      </xdr:nvSpPr>
      <xdr:spPr>
        <a:xfrm>
          <a:off x="11643937" y="816128"/>
          <a:ext cx="1544470" cy="1280160"/>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ysClr val="windowText" lastClr="000000"/>
              </a:solidFill>
            </a:rPr>
            <a:t>Click for financial</a:t>
          </a:r>
          <a:r>
            <a:rPr lang="en-CA" sz="1400" b="1" baseline="0">
              <a:solidFill>
                <a:sysClr val="windowText" lastClr="000000"/>
              </a:solidFill>
            </a:rPr>
            <a:t> advice</a:t>
          </a:r>
          <a:endParaRPr lang="en-CA" sz="1400" b="1">
            <a:solidFill>
              <a:sysClr val="windowText" lastClr="000000"/>
            </a:solidFill>
          </a:endParaRPr>
        </a:p>
      </xdr:txBody>
    </xdr:sp>
    <xdr:clientData/>
  </xdr:twoCellAnchor>
  <xdr:twoCellAnchor>
    <xdr:from>
      <xdr:col>5</xdr:col>
      <xdr:colOff>260047</xdr:colOff>
      <xdr:row>10</xdr:row>
      <xdr:rowOff>176101</xdr:rowOff>
    </xdr:from>
    <xdr:to>
      <xdr:col>11</xdr:col>
      <xdr:colOff>535934</xdr:colOff>
      <xdr:row>26</xdr:row>
      <xdr:rowOff>89730</xdr:rowOff>
    </xdr:to>
    <xdr:graphicFrame macro="">
      <xdr:nvGraphicFramePr>
        <xdr:cNvPr id="4" name="Chart 3">
          <a:extLst>
            <a:ext uri="{FF2B5EF4-FFF2-40B4-BE49-F238E27FC236}">
              <a16:creationId xmlns:a16="http://schemas.microsoft.com/office/drawing/2014/main" id="{F87F0E34-463F-4816-A7FE-6533DF622B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265790</xdr:colOff>
      <xdr:row>26</xdr:row>
      <xdr:rowOff>137090</xdr:rowOff>
    </xdr:from>
    <xdr:to>
      <xdr:col>11</xdr:col>
      <xdr:colOff>538049</xdr:colOff>
      <xdr:row>41</xdr:row>
      <xdr:rowOff>178463</xdr:rowOff>
    </xdr:to>
    <xdr:graphicFrame macro="">
      <xdr:nvGraphicFramePr>
        <xdr:cNvPr id="5" name="Chart 4">
          <a:extLst>
            <a:ext uri="{FF2B5EF4-FFF2-40B4-BE49-F238E27FC236}">
              <a16:creationId xmlns:a16="http://schemas.microsoft.com/office/drawing/2014/main" id="{20A87453-6E4E-4EAF-9F99-E052F8C338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104384</xdr:colOff>
      <xdr:row>11</xdr:row>
      <xdr:rowOff>79331</xdr:rowOff>
    </xdr:from>
    <xdr:to>
      <xdr:col>19</xdr:col>
      <xdr:colOff>438411</xdr:colOff>
      <xdr:row>26</xdr:row>
      <xdr:rowOff>4175</xdr:rowOff>
    </xdr:to>
    <xdr:graphicFrame macro="">
      <xdr:nvGraphicFramePr>
        <xdr:cNvPr id="6" name="Chart 5">
          <a:extLst>
            <a:ext uri="{FF2B5EF4-FFF2-40B4-BE49-F238E27FC236}">
              <a16:creationId xmlns:a16="http://schemas.microsoft.com/office/drawing/2014/main" id="{840D02CC-5352-4438-B148-7242903A4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7638B-9417-4589-A887-5CF247932496}">
  <sheetPr codeName="Sheet8"/>
  <dimension ref="M1:BC17"/>
  <sheetViews>
    <sheetView tabSelected="1" zoomScale="47" zoomScaleNormal="60" workbookViewId="0">
      <selection activeCell="S7" sqref="S7"/>
    </sheetView>
  </sheetViews>
  <sheetFormatPr defaultRowHeight="14.4" x14ac:dyDescent="0.3"/>
  <cols>
    <col min="13" max="13" width="29.5546875" customWidth="1"/>
    <col min="17" max="17" width="254.88671875" customWidth="1"/>
  </cols>
  <sheetData>
    <row r="1" spans="13:55" ht="25.2" x14ac:dyDescent="0.45">
      <c r="M1" s="25" t="s">
        <v>23</v>
      </c>
      <c r="BB1" t="s">
        <v>10</v>
      </c>
      <c r="BC1" s="3" t="str">
        <f>September!G1</f>
        <v>Total Balance</v>
      </c>
    </row>
    <row r="2" spans="13:55" ht="30.6" customHeight="1" x14ac:dyDescent="0.6">
      <c r="M2" s="28" cm="1">
        <f t="array" ref="M2">SUMPRODUCT(SUM(IF(ISNUMBER(General!BC1:BC9), General!BC1:BC9, 0)))</f>
        <v>0</v>
      </c>
      <c r="Q2" t="s">
        <v>29</v>
      </c>
      <c r="BB2" t="s">
        <v>11</v>
      </c>
      <c r="BC2" s="3" t="str">
        <f>October!G1</f>
        <v>Total Balance</v>
      </c>
    </row>
    <row r="3" spans="13:55" x14ac:dyDescent="0.3">
      <c r="BB3" t="s">
        <v>12</v>
      </c>
      <c r="BC3" s="3" t="str">
        <f>November!G1</f>
        <v>Total Balance</v>
      </c>
    </row>
    <row r="4" spans="13:55" x14ac:dyDescent="0.3">
      <c r="BB4" t="s">
        <v>13</v>
      </c>
      <c r="BC4" s="3" t="str">
        <f>December!G1</f>
        <v>Total Balance</v>
      </c>
    </row>
    <row r="5" spans="13:55" x14ac:dyDescent="0.3">
      <c r="BB5" t="s">
        <v>14</v>
      </c>
      <c r="BC5" s="3" t="str">
        <f>January!G1</f>
        <v>Total Balance</v>
      </c>
    </row>
    <row r="6" spans="13:55" x14ac:dyDescent="0.3">
      <c r="BB6" t="s">
        <v>19</v>
      </c>
      <c r="BC6" s="3" t="str">
        <f>February!G1</f>
        <v>Total Balance</v>
      </c>
    </row>
    <row r="7" spans="13:55" x14ac:dyDescent="0.3">
      <c r="BB7" t="s">
        <v>20</v>
      </c>
      <c r="BC7" s="3" t="str">
        <f>March!G1</f>
        <v>Total Balance</v>
      </c>
    </row>
    <row r="8" spans="13:55" x14ac:dyDescent="0.3">
      <c r="BB8" t="s">
        <v>21</v>
      </c>
      <c r="BC8" s="3" t="str">
        <f>April!G1</f>
        <v>Total Balance</v>
      </c>
    </row>
    <row r="9" spans="13:55" x14ac:dyDescent="0.3">
      <c r="BB9" t="s">
        <v>22</v>
      </c>
      <c r="BC9" s="3" t="str">
        <f>May!G1</f>
        <v>Total Balance</v>
      </c>
    </row>
    <row r="12" spans="13:55" x14ac:dyDescent="0.3">
      <c r="BB12" t="s">
        <v>5</v>
      </c>
      <c r="BC12">
        <f>ABS(SUM(September:May!CB1))</f>
        <v>0</v>
      </c>
    </row>
    <row r="13" spans="13:55" x14ac:dyDescent="0.3">
      <c r="BB13" t="s">
        <v>15</v>
      </c>
      <c r="BC13">
        <f>ABS(SUM(September:May!CB2))</f>
        <v>0</v>
      </c>
    </row>
    <row r="14" spans="13:55" x14ac:dyDescent="0.3">
      <c r="BB14" t="s">
        <v>6</v>
      </c>
      <c r="BC14">
        <f>ABS(SUM(September:May!CB3))</f>
        <v>0</v>
      </c>
    </row>
    <row r="15" spans="13:55" x14ac:dyDescent="0.3">
      <c r="BB15" t="s">
        <v>7</v>
      </c>
      <c r="BC15">
        <f>ABS(SUM(September:May!CB4))</f>
        <v>0</v>
      </c>
    </row>
    <row r="16" spans="13:55" x14ac:dyDescent="0.3">
      <c r="BB16" t="s">
        <v>8</v>
      </c>
      <c r="BC16">
        <f>ABS(SUM(September:May!CB5))</f>
        <v>0</v>
      </c>
    </row>
    <row r="17" spans="54:55" x14ac:dyDescent="0.3">
      <c r="BB17" t="s">
        <v>25</v>
      </c>
      <c r="BC17">
        <f>ABS(SUM(September:May!CB6))</f>
        <v>0</v>
      </c>
    </row>
  </sheetData>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84DAD-82FE-40A8-8DBA-BF2974CFDB69}">
  <sheetPr codeName="Sheet2"/>
  <dimension ref="A1:A6"/>
  <sheetViews>
    <sheetView zoomScale="87" workbookViewId="0">
      <selection activeCell="A2" sqref="A2"/>
    </sheetView>
  </sheetViews>
  <sheetFormatPr defaultRowHeight="14.4" x14ac:dyDescent="0.3"/>
  <cols>
    <col min="1" max="1" width="99.44140625" customWidth="1"/>
  </cols>
  <sheetData>
    <row r="1" spans="1:1" ht="23.4" x14ac:dyDescent="0.45">
      <c r="A1" s="27" t="s">
        <v>24</v>
      </c>
    </row>
    <row r="2" spans="1:1" x14ac:dyDescent="0.3">
      <c r="A2" s="26" t="s">
        <v>26</v>
      </c>
    </row>
    <row r="5" spans="1:1" x14ac:dyDescent="0.3">
      <c r="A5" s="26"/>
    </row>
    <row r="6" spans="1:1" x14ac:dyDescent="0.3">
      <c r="A6" s="2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DA69F-C893-4A1C-9287-A33172A85828}">
  <sheetPr codeName="Sheet1"/>
  <dimension ref="A1:CB73"/>
  <sheetViews>
    <sheetView zoomScale="44" zoomScaleNormal="85" workbookViewId="0">
      <selection activeCell="B70" sqref="B70"/>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5" t="s">
        <v>0</v>
      </c>
      <c r="B1" s="6" t="s">
        <v>1</v>
      </c>
      <c r="C1" s="5" t="s">
        <v>2</v>
      </c>
      <c r="D1" s="5" t="s">
        <v>3</v>
      </c>
      <c r="E1" s="5" t="s">
        <v>4</v>
      </c>
      <c r="G1" s="4" t="str" cm="1">
        <f t="array" ref="G1">INDEX(D:D,MATCH(2,1/(D:D&lt;&gt;""),1))</f>
        <v>Total Balance</v>
      </c>
      <c r="BB1" t="s">
        <v>5</v>
      </c>
      <c r="CA1" t="s">
        <v>5</v>
      </c>
      <c r="CB1">
        <f>ABS(SUMIFS(B:B, C:C, "*Food*"))</f>
        <v>0</v>
      </c>
    </row>
    <row r="2" spans="1:80" x14ac:dyDescent="0.3">
      <c r="A2" s="1"/>
      <c r="D2" s="3" t="str">
        <f>IF($B2&lt;&gt;"", SUM($B$2:B2), "")</f>
        <v/>
      </c>
      <c r="G2" t="s">
        <v>16</v>
      </c>
      <c r="BB2" t="s">
        <v>15</v>
      </c>
      <c r="CA2" t="s">
        <v>15</v>
      </c>
      <c r="CB2">
        <f>ABS(SUMIFS(B:B, C:C, "*Entertainment*"))</f>
        <v>0</v>
      </c>
    </row>
    <row r="3" spans="1:80" x14ac:dyDescent="0.3">
      <c r="A3" s="7"/>
      <c r="D3" s="3" t="str">
        <f>IF($B3&lt;&gt;"", SUM($B$2:B3), "")</f>
        <v/>
      </c>
      <c r="AC3" s="24" t="s">
        <v>5</v>
      </c>
      <c r="BB3" t="s">
        <v>6</v>
      </c>
      <c r="CA3" t="s">
        <v>6</v>
      </c>
      <c r="CB3">
        <f>ABS(SUMIFS(B:B, C:C, "*Subscriptions*"))</f>
        <v>0</v>
      </c>
    </row>
    <row r="4" spans="1:80" x14ac:dyDescent="0.3">
      <c r="A4" s="7"/>
      <c r="D4" s="3" t="str">
        <f>IF($B4&lt;&gt;"", SUM($B$2:B4), "")</f>
        <v/>
      </c>
      <c r="E4" s="3"/>
      <c r="BB4" t="s">
        <v>7</v>
      </c>
      <c r="CA4" t="s">
        <v>7</v>
      </c>
      <c r="CB4">
        <f>ABS(SUMIFS(B:B, C:C, "*School*"))</f>
        <v>0</v>
      </c>
    </row>
    <row r="5" spans="1:80" x14ac:dyDescent="0.3">
      <c r="A5" s="7"/>
      <c r="D5" s="3" t="str">
        <f>IF($B5&lt;&gt;"", SUM($B$2:B5), "")</f>
        <v/>
      </c>
      <c r="BB5" t="s">
        <v>8</v>
      </c>
      <c r="CA5" t="s">
        <v>8</v>
      </c>
      <c r="CB5">
        <f>ABS(SUMIFS(B:B, C:C, "*Housing*"))</f>
        <v>0</v>
      </c>
    </row>
    <row r="6" spans="1:80" x14ac:dyDescent="0.3">
      <c r="A6" s="2"/>
      <c r="B6"/>
      <c r="C6" s="3" t="str">
        <f>IF($A6&lt;&gt;"", SUM($B$2:B6), "")</f>
        <v/>
      </c>
      <c r="D6" s="3" t="str">
        <f>IF($B6&lt;&gt;"", SUM($B$2:B6), "")</f>
        <v/>
      </c>
      <c r="BA6" t="s">
        <v>9</v>
      </c>
      <c r="BB6" t="s">
        <v>9</v>
      </c>
      <c r="BZ6" t="s">
        <v>25</v>
      </c>
      <c r="CA6" t="s">
        <v>25</v>
      </c>
      <c r="CB6">
        <f>ABS(SUMIFS(B:B, C:C, "*Other*"))</f>
        <v>0</v>
      </c>
    </row>
    <row r="7" spans="1:80" x14ac:dyDescent="0.3">
      <c r="A7" s="2"/>
      <c r="B7"/>
      <c r="C7" s="3" t="str">
        <f>IF($A7&lt;&gt;"", SUM($B$2:B7), "")</f>
        <v/>
      </c>
      <c r="D7" s="3" t="str">
        <f>IF($B7&lt;&gt;"", SUM($B$2:B7), "")</f>
        <v/>
      </c>
      <c r="BA7" t="s">
        <v>25</v>
      </c>
      <c r="BB7" t="s">
        <v>25</v>
      </c>
    </row>
    <row r="8" spans="1:80" x14ac:dyDescent="0.3">
      <c r="A8" s="2"/>
      <c r="B8"/>
      <c r="C8" s="3" t="str">
        <f>IF($A8&lt;&gt;"", SUM($B$2:B8), "")</f>
        <v/>
      </c>
      <c r="D8" s="3" t="str">
        <f>IF($B8&lt;&gt;"", SUM($B$2:B8), "")</f>
        <v/>
      </c>
    </row>
    <row r="9" spans="1:80" x14ac:dyDescent="0.3">
      <c r="A9" s="2"/>
      <c r="B9"/>
      <c r="C9" s="3" t="str">
        <f>IF($A9&lt;&gt;"", SUM($B$2:B9), "")</f>
        <v/>
      </c>
      <c r="D9" s="3" t="str">
        <f>IF($B9&lt;&gt;"", SUM($B$2:B9), "")</f>
        <v/>
      </c>
    </row>
    <row r="10" spans="1:80" x14ac:dyDescent="0.3">
      <c r="A10" s="2"/>
      <c r="B10"/>
      <c r="C10" s="3" t="str">
        <f>IF($A10&lt;&gt;"", SUM($B$2:B10), "")</f>
        <v/>
      </c>
      <c r="D10" s="3" t="str">
        <f>IF($B10&lt;&gt;"", SUM($B$2:B10), "")</f>
        <v/>
      </c>
    </row>
    <row r="11" spans="1:80" x14ac:dyDescent="0.3">
      <c r="A11" s="2"/>
      <c r="B11"/>
      <c r="C11" s="3" t="str">
        <f>IF($A11&lt;&gt;"", SUM($B$2:B11), "")</f>
        <v/>
      </c>
      <c r="D11" s="3" t="str">
        <f>IF($B11&lt;&gt;"", SUM($B$2:B11), "")</f>
        <v/>
      </c>
    </row>
    <row r="12" spans="1:80" x14ac:dyDescent="0.3">
      <c r="A12" s="2"/>
      <c r="B12"/>
      <c r="C12" s="3" t="str">
        <f>IF($A12&lt;&gt;"", SUM($B$2:B12), "")</f>
        <v/>
      </c>
      <c r="D12" s="3" t="str">
        <f>IF($B12&lt;&gt;"", SUM($B$2:B12), "")</f>
        <v/>
      </c>
    </row>
    <row r="13" spans="1:80" x14ac:dyDescent="0.3">
      <c r="A13" s="2"/>
      <c r="B13"/>
      <c r="C13" s="3" t="str">
        <f>IF($A13&lt;&gt;"", SUM($B$2:B13), "")</f>
        <v/>
      </c>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row r="61" spans="4:4" x14ac:dyDescent="0.3">
      <c r="D61" s="3" t="str">
        <f>IF($B61&lt;&gt;"", SUM($B$2:B61), "")</f>
        <v/>
      </c>
    </row>
    <row r="62" spans="4:4" x14ac:dyDescent="0.3">
      <c r="D62" s="3" t="str">
        <f>IF($B62&lt;&gt;"", SUM($B$2:B62), "")</f>
        <v/>
      </c>
    </row>
    <row r="63" spans="4:4" x14ac:dyDescent="0.3">
      <c r="D63" s="3" t="str">
        <f>IF($B63&lt;&gt;"", SUM($B$2:B63), "")</f>
        <v/>
      </c>
    </row>
    <row r="64" spans="4:4" x14ac:dyDescent="0.3">
      <c r="D64" s="3" t="str">
        <f>IF($B64&lt;&gt;"", SUM($B$2:B64), "")</f>
        <v/>
      </c>
    </row>
    <row r="65" spans="4:4" x14ac:dyDescent="0.3">
      <c r="D65" s="3" t="str">
        <f>IF($B65&lt;&gt;"", SUM($B$2:B65), "")</f>
        <v/>
      </c>
    </row>
    <row r="66" spans="4:4" x14ac:dyDescent="0.3">
      <c r="D66" s="3" t="str">
        <f>IF($B66&lt;&gt;"", SUM($B$2:B66), "")</f>
        <v/>
      </c>
    </row>
    <row r="67" spans="4:4" x14ac:dyDescent="0.3">
      <c r="D67" s="3" t="str">
        <f>IF($B67&lt;&gt;"", SUM($B$2:B67), "")</f>
        <v/>
      </c>
    </row>
    <row r="68" spans="4:4" x14ac:dyDescent="0.3">
      <c r="D68" s="3" t="str">
        <f>IF($B68&lt;&gt;"", SUM($B$2:B68), "")</f>
        <v/>
      </c>
    </row>
    <row r="69" spans="4:4" x14ac:dyDescent="0.3">
      <c r="D69" s="3" t="str">
        <f>IF($B69&lt;&gt;"", SUM($B$2:B69), "")</f>
        <v/>
      </c>
    </row>
    <row r="70" spans="4:4" x14ac:dyDescent="0.3">
      <c r="D70" s="3" t="str">
        <f>IF($B70&lt;&gt;"", SUM($B$2:B70), "")</f>
        <v/>
      </c>
    </row>
    <row r="71" spans="4:4" x14ac:dyDescent="0.3">
      <c r="D71" s="3" t="str">
        <f>IF($B71&lt;&gt;"", SUM($B$2:B71), "")</f>
        <v/>
      </c>
    </row>
    <row r="72" spans="4:4" x14ac:dyDescent="0.3">
      <c r="D72" s="3" t="str">
        <f>IF($B72&lt;&gt;"", SUM($B$2:B72), "")</f>
        <v/>
      </c>
    </row>
    <row r="73" spans="4:4" x14ac:dyDescent="0.3">
      <c r="D73" s="3" t="str">
        <f>IF($B73&lt;&gt;"", SUM($B$2:B73), "")</f>
        <v/>
      </c>
    </row>
  </sheetData>
  <conditionalFormatting sqref="B30:B83 B2:B5 B14:B22 A6:A13">
    <cfRule type="cellIs" dxfId="35" priority="4" operator="greaterThan">
      <formula>0</formula>
    </cfRule>
  </conditionalFormatting>
  <conditionalFormatting sqref="B30:B40 B2:B5 B14:B22 A6:A13">
    <cfRule type="cellIs" dxfId="34" priority="3" operator="lessThan">
      <formula>0</formula>
    </cfRule>
  </conditionalFormatting>
  <conditionalFormatting sqref="S34:S40">
    <cfRule type="cellIs" dxfId="33" priority="2" operator="greaterThan">
      <formula>0</formula>
    </cfRule>
  </conditionalFormatting>
  <conditionalFormatting sqref="S34:S40">
    <cfRule type="cellIs" dxfId="32" priority="1" operator="lessThan">
      <formula>0</formula>
    </cfRule>
  </conditionalFormatting>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7127A-9C85-412F-8701-474B27836CBC}">
  <sheetPr codeName="Sheet10"/>
  <dimension ref="A1:CB152"/>
  <sheetViews>
    <sheetView zoomScale="51" zoomScaleNormal="85" workbookViewId="0">
      <selection activeCell="D62" sqref="D62"/>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8" t="s">
        <v>0</v>
      </c>
      <c r="B1" s="9" t="s">
        <v>1</v>
      </c>
      <c r="C1" s="8" t="s">
        <v>2</v>
      </c>
      <c r="D1" s="8" t="s">
        <v>3</v>
      </c>
      <c r="E1" s="8" t="s">
        <v>4</v>
      </c>
      <c r="G1" s="4" t="str" cm="1">
        <f t="array" ref="G1">INDEX(D:D,MATCH(2,1/(D:D&lt;&gt;""),1))</f>
        <v>Total Balance</v>
      </c>
      <c r="CA1" t="s">
        <v>5</v>
      </c>
      <c r="CB1">
        <f>ABS(SUMIFS(D:D, C:C, "*Food*"))</f>
        <v>0</v>
      </c>
    </row>
    <row r="2" spans="1:80" x14ac:dyDescent="0.3">
      <c r="A2" s="1"/>
      <c r="D2" s="3" t="str">
        <f>IF($B2&lt;&gt;"", SUM($B$2:B2), "")</f>
        <v/>
      </c>
      <c r="G2" t="s">
        <v>16</v>
      </c>
      <c r="CA2" t="s">
        <v>15</v>
      </c>
      <c r="CB2">
        <f>ABS(SUMIFS(D:D, C:C, "*Entertainment*"))</f>
        <v>0</v>
      </c>
    </row>
    <row r="3" spans="1:80" x14ac:dyDescent="0.3">
      <c r="A3" s="7"/>
      <c r="D3" s="3" t="str">
        <f>IF($B3&lt;&gt;"", SUM($B$2:B3), "")</f>
        <v/>
      </c>
      <c r="CA3" t="s">
        <v>6</v>
      </c>
      <c r="CB3">
        <f>ABS(SUMIFS(D:D, C:C, "*Subscriptions*"))</f>
        <v>0</v>
      </c>
    </row>
    <row r="4" spans="1:80" x14ac:dyDescent="0.3">
      <c r="A4" s="1"/>
      <c r="D4" s="3" t="str">
        <f>IF($B4&lt;&gt;"", SUM($B$2:B4), "")</f>
        <v/>
      </c>
      <c r="E4" s="3"/>
      <c r="CA4" t="s">
        <v>7</v>
      </c>
      <c r="CB4">
        <f>ABS(SUMIFS(D:D, C:C, "*School*"))</f>
        <v>0</v>
      </c>
    </row>
    <row r="5" spans="1:80" x14ac:dyDescent="0.3">
      <c r="A5" s="1"/>
      <c r="D5" s="3" t="str">
        <f>IF($B5&lt;&gt;"", SUM($B$2:B5), "")</f>
        <v/>
      </c>
      <c r="CA5" t="s">
        <v>8</v>
      </c>
      <c r="CB5">
        <f>ABS(SUMIFS(D:D, C:C, "*Other*"))</f>
        <v>0</v>
      </c>
    </row>
    <row r="6" spans="1:80" x14ac:dyDescent="0.3">
      <c r="A6" s="1"/>
      <c r="D6" s="3" t="str">
        <f>IF($B6&lt;&gt;"", SUM($B$2:B6), "")</f>
        <v/>
      </c>
      <c r="CA6" t="s">
        <v>25</v>
      </c>
      <c r="CB6">
        <f>ABS(SUMIFS(D:D, C:C, "*Housing*"))</f>
        <v>0</v>
      </c>
    </row>
    <row r="7" spans="1:80" x14ac:dyDescent="0.3">
      <c r="A7" s="1"/>
      <c r="D7" s="3" t="str">
        <f>IF($B7&lt;&gt;"", SUM($B$2:B7), "")</f>
        <v/>
      </c>
    </row>
    <row r="8" spans="1:80" x14ac:dyDescent="0.3">
      <c r="A8" s="1"/>
      <c r="D8" s="3" t="str">
        <f>IF($B8&lt;&gt;"", SUM($B$2:B8), "")</f>
        <v/>
      </c>
    </row>
    <row r="9" spans="1:80" x14ac:dyDescent="0.3">
      <c r="A9" s="1"/>
      <c r="D9" s="3" t="str">
        <f>IF($B9&lt;&gt;"", SUM($B$2:B9), "")</f>
        <v/>
      </c>
    </row>
    <row r="10" spans="1:80" x14ac:dyDescent="0.3">
      <c r="A10" s="1"/>
      <c r="D10" s="3" t="str">
        <f>IF($B10&lt;&gt;"", SUM($B$2:B10), "")</f>
        <v/>
      </c>
    </row>
    <row r="11" spans="1:80" x14ac:dyDescent="0.3">
      <c r="D11" s="3" t="str">
        <f>IF($B11&lt;&gt;"", SUM($B$2:B11), "")</f>
        <v/>
      </c>
    </row>
    <row r="12" spans="1:80" x14ac:dyDescent="0.3">
      <c r="D12" s="3" t="str">
        <f>IF($B12&lt;&gt;"", SUM($B$2:B12), "")</f>
        <v/>
      </c>
    </row>
    <row r="13" spans="1:80" x14ac:dyDescent="0.3">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row r="61" spans="4:4" x14ac:dyDescent="0.3">
      <c r="D61" s="3" t="str">
        <f>IF($B61&lt;&gt;"", SUM($B$2:B61), "")</f>
        <v/>
      </c>
    </row>
    <row r="62" spans="4:4" x14ac:dyDescent="0.3">
      <c r="D62" s="3" t="str">
        <f>IF($B62&lt;&gt;"", SUM($B$2:B62), "")</f>
        <v/>
      </c>
    </row>
    <row r="63" spans="4:4" x14ac:dyDescent="0.3">
      <c r="D63" s="3" t="str">
        <f>IF($B63&lt;&gt;"", SUM($B$2:B63), "")</f>
        <v/>
      </c>
    </row>
    <row r="64" spans="4:4" x14ac:dyDescent="0.3">
      <c r="D64" s="3" t="str">
        <f>IF($B64&lt;&gt;"", SUM($B$2:B64), "")</f>
        <v/>
      </c>
    </row>
    <row r="65" spans="4:4" x14ac:dyDescent="0.3">
      <c r="D65" s="3" t="str">
        <f>IF($B65&lt;&gt;"", SUM($B$2:B65), "")</f>
        <v/>
      </c>
    </row>
    <row r="66" spans="4:4" x14ac:dyDescent="0.3">
      <c r="D66" s="3" t="str">
        <f>IF($B66&lt;&gt;"", SUM($B$2:B66), "")</f>
        <v/>
      </c>
    </row>
    <row r="67" spans="4:4" x14ac:dyDescent="0.3">
      <c r="D67" s="3" t="str">
        <f>IF($B67&lt;&gt;"", SUM($B$2:B67), "")</f>
        <v/>
      </c>
    </row>
    <row r="68" spans="4:4" x14ac:dyDescent="0.3">
      <c r="D68" s="3" t="str">
        <f>IF($B68&lt;&gt;"", SUM($B$2:B68), "")</f>
        <v/>
      </c>
    </row>
    <row r="69" spans="4:4" x14ac:dyDescent="0.3">
      <c r="D69" s="3" t="str">
        <f>IF($B69&lt;&gt;"", SUM($B$2:B69), "")</f>
        <v/>
      </c>
    </row>
    <row r="70" spans="4:4" x14ac:dyDescent="0.3">
      <c r="D70" s="3" t="str">
        <f>IF($B70&lt;&gt;"", SUM($B$2:B70), "")</f>
        <v/>
      </c>
    </row>
    <row r="71" spans="4:4" x14ac:dyDescent="0.3">
      <c r="D71" s="3" t="str">
        <f>IF($B71&lt;&gt;"", SUM($B$2:B71), "")</f>
        <v/>
      </c>
    </row>
    <row r="72" spans="4:4" x14ac:dyDescent="0.3">
      <c r="D72" s="3" t="str">
        <f>IF($B72&lt;&gt;"", SUM($B$2:B72), "")</f>
        <v/>
      </c>
    </row>
    <row r="73" spans="4:4" x14ac:dyDescent="0.3">
      <c r="D73" s="3" t="str">
        <f>IF($B73&lt;&gt;"", SUM($B$2:B73), "")</f>
        <v/>
      </c>
    </row>
    <row r="74" spans="4:4" x14ac:dyDescent="0.3">
      <c r="D74" s="3" t="str">
        <f>IF($B74&lt;&gt;"", SUM($B$2:B74), "")</f>
        <v/>
      </c>
    </row>
    <row r="75" spans="4:4" x14ac:dyDescent="0.3">
      <c r="D75" s="3" t="str">
        <f>IF($B75&lt;&gt;"", SUM($B$2:B75), "")</f>
        <v/>
      </c>
    </row>
    <row r="76" spans="4:4" x14ac:dyDescent="0.3">
      <c r="D76" s="3" t="str">
        <f>IF($B76&lt;&gt;"", SUM($B$2:B76), "")</f>
        <v/>
      </c>
    </row>
    <row r="77" spans="4:4" x14ac:dyDescent="0.3">
      <c r="D77" s="3" t="str">
        <f>IF($B77&lt;&gt;"", SUM($B$2:B77), "")</f>
        <v/>
      </c>
    </row>
    <row r="78" spans="4:4" x14ac:dyDescent="0.3">
      <c r="D78" s="3" t="str">
        <f>IF($B78&lt;&gt;"", SUM($B$2:B78), "")</f>
        <v/>
      </c>
    </row>
    <row r="79" spans="4:4" x14ac:dyDescent="0.3">
      <c r="D79" s="3" t="str">
        <f>IF($B79&lt;&gt;"", SUM($B$2:B79), "")</f>
        <v/>
      </c>
    </row>
    <row r="80" spans="4:4" x14ac:dyDescent="0.3">
      <c r="D80" s="3" t="str">
        <f>IF($B80&lt;&gt;"", SUM($B$2:B80), "")</f>
        <v/>
      </c>
    </row>
    <row r="81" spans="4:4" x14ac:dyDescent="0.3">
      <c r="D81" s="3" t="str">
        <f>IF($B81&lt;&gt;"", SUM($B$2:B81), "")</f>
        <v/>
      </c>
    </row>
    <row r="82" spans="4:4" x14ac:dyDescent="0.3">
      <c r="D82" s="3" t="str">
        <f>IF($B82&lt;&gt;"", SUM($B$2:B82), "")</f>
        <v/>
      </c>
    </row>
    <row r="83" spans="4:4" x14ac:dyDescent="0.3">
      <c r="D83" s="3" t="str">
        <f>IF($B83&lt;&gt;"", SUM($B$2:B83), "")</f>
        <v/>
      </c>
    </row>
    <row r="84" spans="4:4" x14ac:dyDescent="0.3">
      <c r="D84" s="3" t="str">
        <f>IF($B84&lt;&gt;"", SUM($B$2:B84), "")</f>
        <v/>
      </c>
    </row>
    <row r="85" spans="4:4" x14ac:dyDescent="0.3">
      <c r="D85" s="3" t="str">
        <f>IF($B85&lt;&gt;"", SUM($B$2:B85), "")</f>
        <v/>
      </c>
    </row>
    <row r="86" spans="4:4" x14ac:dyDescent="0.3">
      <c r="D86" s="3" t="str">
        <f>IF($B86&lt;&gt;"", SUM($B$2:B86), "")</f>
        <v/>
      </c>
    </row>
    <row r="87" spans="4:4" x14ac:dyDescent="0.3">
      <c r="D87" s="3" t="str">
        <f>IF($B87&lt;&gt;"", SUM($B$2:B87), "")</f>
        <v/>
      </c>
    </row>
    <row r="88" spans="4:4" x14ac:dyDescent="0.3">
      <c r="D88" s="3" t="str">
        <f>IF($B88&lt;&gt;"", SUM($B$2:B88), "")</f>
        <v/>
      </c>
    </row>
    <row r="89" spans="4:4" x14ac:dyDescent="0.3">
      <c r="D89" s="3" t="str">
        <f>IF($B89&lt;&gt;"", SUM($B$2:B89), "")</f>
        <v/>
      </c>
    </row>
    <row r="90" spans="4:4" x14ac:dyDescent="0.3">
      <c r="D90" s="3" t="str">
        <f>IF($B90&lt;&gt;"", SUM($B$2:B90), "")</f>
        <v/>
      </c>
    </row>
    <row r="91" spans="4:4" x14ac:dyDescent="0.3">
      <c r="D91" s="3" t="str">
        <f>IF($B91&lt;&gt;"", SUM($B$2:B91), "")</f>
        <v/>
      </c>
    </row>
    <row r="92" spans="4:4" x14ac:dyDescent="0.3">
      <c r="D92" s="3" t="str">
        <f>IF($B92&lt;&gt;"", SUM($B$2:B92), "")</f>
        <v/>
      </c>
    </row>
    <row r="93" spans="4:4" x14ac:dyDescent="0.3">
      <c r="D93" s="3" t="str">
        <f>IF($B93&lt;&gt;"", SUM($B$2:B93), "")</f>
        <v/>
      </c>
    </row>
    <row r="94" spans="4:4" x14ac:dyDescent="0.3">
      <c r="D94" s="3" t="str">
        <f>IF($B94&lt;&gt;"", SUM($B$2:B94), "")</f>
        <v/>
      </c>
    </row>
    <row r="95" spans="4:4" x14ac:dyDescent="0.3">
      <c r="D95" s="3" t="str">
        <f>IF($B95&lt;&gt;"", SUM($B$2:B95), "")</f>
        <v/>
      </c>
    </row>
    <row r="96" spans="4:4" x14ac:dyDescent="0.3">
      <c r="D96" s="3" t="str">
        <f>IF($B96&lt;&gt;"", SUM($B$2:B96), "")</f>
        <v/>
      </c>
    </row>
    <row r="97" spans="4:4" x14ac:dyDescent="0.3">
      <c r="D97" s="3" t="str">
        <f>IF($B97&lt;&gt;"", SUM($B$2:B97), "")</f>
        <v/>
      </c>
    </row>
    <row r="98" spans="4:4" x14ac:dyDescent="0.3">
      <c r="D98" s="3" t="str">
        <f>IF($B98&lt;&gt;"", SUM($B$2:B98), "")</f>
        <v/>
      </c>
    </row>
    <row r="99" spans="4:4" x14ac:dyDescent="0.3">
      <c r="D99" s="3" t="str">
        <f>IF($B99&lt;&gt;"", SUM($B$2:B99), "")</f>
        <v/>
      </c>
    </row>
    <row r="100" spans="4:4" x14ac:dyDescent="0.3">
      <c r="D100" s="3" t="str">
        <f>IF($B100&lt;&gt;"", SUM($B$2:B100), "")</f>
        <v/>
      </c>
    </row>
    <row r="101" spans="4:4" x14ac:dyDescent="0.3">
      <c r="D101" s="3" t="str">
        <f>IF($B101&lt;&gt;"", SUM($B$2:B101), "")</f>
        <v/>
      </c>
    </row>
    <row r="102" spans="4:4" x14ac:dyDescent="0.3">
      <c r="D102" s="3" t="str">
        <f>IF($B102&lt;&gt;"", SUM($B$2:B102), "")</f>
        <v/>
      </c>
    </row>
    <row r="103" spans="4:4" x14ac:dyDescent="0.3">
      <c r="D103" s="3" t="str">
        <f>IF($B103&lt;&gt;"", SUM($B$2:B103), "")</f>
        <v/>
      </c>
    </row>
    <row r="104" spans="4:4" x14ac:dyDescent="0.3">
      <c r="D104" s="3" t="str">
        <f>IF($B104&lt;&gt;"", SUM($B$2:B104), "")</f>
        <v/>
      </c>
    </row>
    <row r="105" spans="4:4" x14ac:dyDescent="0.3">
      <c r="D105" s="3" t="str">
        <f>IF($B105&lt;&gt;"", SUM($B$2:B105), "")</f>
        <v/>
      </c>
    </row>
    <row r="106" spans="4:4" x14ac:dyDescent="0.3">
      <c r="D106" s="3" t="str">
        <f>IF($B106&lt;&gt;"", SUM($B$2:B106), "")</f>
        <v/>
      </c>
    </row>
    <row r="107" spans="4:4" x14ac:dyDescent="0.3">
      <c r="D107" s="3" t="str">
        <f>IF($B107&lt;&gt;"", SUM($B$2:B107), "")</f>
        <v/>
      </c>
    </row>
    <row r="108" spans="4:4" x14ac:dyDescent="0.3">
      <c r="D108" s="3" t="str">
        <f>IF($B108&lt;&gt;"", SUM($B$2:B108), "")</f>
        <v/>
      </c>
    </row>
    <row r="109" spans="4:4" x14ac:dyDescent="0.3">
      <c r="D109" s="3" t="str">
        <f>IF($B109&lt;&gt;"", SUM($B$2:B109), "")</f>
        <v/>
      </c>
    </row>
    <row r="110" spans="4:4" x14ac:dyDescent="0.3">
      <c r="D110" s="3" t="str">
        <f>IF($B110&lt;&gt;"", SUM($B$2:B110), "")</f>
        <v/>
      </c>
    </row>
    <row r="111" spans="4:4" x14ac:dyDescent="0.3">
      <c r="D111" s="3" t="str">
        <f>IF($B111&lt;&gt;"", SUM($B$2:B111), "")</f>
        <v/>
      </c>
    </row>
    <row r="112" spans="4:4" x14ac:dyDescent="0.3">
      <c r="D112" s="3" t="str">
        <f>IF($B112&lt;&gt;"", SUM($B$2:B112), "")</f>
        <v/>
      </c>
    </row>
    <row r="113" spans="4:4" x14ac:dyDescent="0.3">
      <c r="D113" s="3" t="str">
        <f>IF($B113&lt;&gt;"", SUM($B$2:B113), "")</f>
        <v/>
      </c>
    </row>
    <row r="114" spans="4:4" x14ac:dyDescent="0.3">
      <c r="D114" s="3" t="str">
        <f>IF($B114&lt;&gt;"", SUM($B$2:B114), "")</f>
        <v/>
      </c>
    </row>
    <row r="115" spans="4:4" x14ac:dyDescent="0.3">
      <c r="D115" s="3" t="str">
        <f>IF($B115&lt;&gt;"", SUM($B$2:B115), "")</f>
        <v/>
      </c>
    </row>
    <row r="116" spans="4:4" x14ac:dyDescent="0.3">
      <c r="D116" s="3" t="str">
        <f>IF($B116&lt;&gt;"", SUM($B$2:B116), "")</f>
        <v/>
      </c>
    </row>
    <row r="117" spans="4:4" x14ac:dyDescent="0.3">
      <c r="D117" s="3" t="str">
        <f>IF($B117&lt;&gt;"", SUM($B$2:B117), "")</f>
        <v/>
      </c>
    </row>
    <row r="118" spans="4:4" x14ac:dyDescent="0.3">
      <c r="D118" s="3" t="str">
        <f>IF($B118&lt;&gt;"", SUM($B$2:B118), "")</f>
        <v/>
      </c>
    </row>
    <row r="119" spans="4:4" x14ac:dyDescent="0.3">
      <c r="D119" s="3" t="str">
        <f>IF($B119&lt;&gt;"", SUM($B$2:B119), "")</f>
        <v/>
      </c>
    </row>
    <row r="120" spans="4:4" x14ac:dyDescent="0.3">
      <c r="D120" s="3" t="str">
        <f>IF($B120&lt;&gt;"", SUM($B$2:B120), "")</f>
        <v/>
      </c>
    </row>
    <row r="121" spans="4:4" x14ac:dyDescent="0.3">
      <c r="D121" s="3" t="str">
        <f>IF($B121&lt;&gt;"", SUM($B$2:B121), "")</f>
        <v/>
      </c>
    </row>
    <row r="122" spans="4:4" x14ac:dyDescent="0.3">
      <c r="D122" s="3" t="str">
        <f>IF($B122&lt;&gt;"", SUM($B$2:B122), "")</f>
        <v/>
      </c>
    </row>
    <row r="123" spans="4:4" x14ac:dyDescent="0.3">
      <c r="D123" s="3" t="str">
        <f>IF($B123&lt;&gt;"", SUM($B$2:B123), "")</f>
        <v/>
      </c>
    </row>
    <row r="124" spans="4:4" x14ac:dyDescent="0.3">
      <c r="D124" s="3" t="str">
        <f>IF($B124&lt;&gt;"", SUM($B$2:B124), "")</f>
        <v/>
      </c>
    </row>
    <row r="125" spans="4:4" x14ac:dyDescent="0.3">
      <c r="D125" s="3" t="str">
        <f>IF($B125&lt;&gt;"", SUM($B$2:B125), "")</f>
        <v/>
      </c>
    </row>
    <row r="126" spans="4:4" x14ac:dyDescent="0.3">
      <c r="D126" s="3" t="str">
        <f>IF($B126&lt;&gt;"", SUM($B$2:B126), "")</f>
        <v/>
      </c>
    </row>
    <row r="127" spans="4:4" x14ac:dyDescent="0.3">
      <c r="D127" s="3" t="str">
        <f>IF($B127&lt;&gt;"", SUM($B$2:B127), "")</f>
        <v/>
      </c>
    </row>
    <row r="128" spans="4:4" x14ac:dyDescent="0.3">
      <c r="D128" s="3" t="str">
        <f>IF($B128&lt;&gt;"", SUM($B$2:B128), "")</f>
        <v/>
      </c>
    </row>
    <row r="129" spans="4:4" x14ac:dyDescent="0.3">
      <c r="D129" s="3" t="str">
        <f>IF($B129&lt;&gt;"", SUM($B$2:B129), "")</f>
        <v/>
      </c>
    </row>
    <row r="130" spans="4:4" x14ac:dyDescent="0.3">
      <c r="D130" s="3" t="str">
        <f>IF($B130&lt;&gt;"", SUM($B$2:B130), "")</f>
        <v/>
      </c>
    </row>
    <row r="131" spans="4:4" x14ac:dyDescent="0.3">
      <c r="D131" s="3" t="str">
        <f>IF($B131&lt;&gt;"", SUM($B$2:B131), "")</f>
        <v/>
      </c>
    </row>
    <row r="132" spans="4:4" x14ac:dyDescent="0.3">
      <c r="D132" s="3" t="str">
        <f>IF($B132&lt;&gt;"", SUM($B$2:B132), "")</f>
        <v/>
      </c>
    </row>
    <row r="133" spans="4:4" x14ac:dyDescent="0.3">
      <c r="D133" s="3" t="str">
        <f>IF($B133&lt;&gt;"", SUM($B$2:B133), "")</f>
        <v/>
      </c>
    </row>
    <row r="134" spans="4:4" x14ac:dyDescent="0.3">
      <c r="D134" s="3" t="str">
        <f>IF($B134&lt;&gt;"", SUM($B$2:B134), "")</f>
        <v/>
      </c>
    </row>
    <row r="135" spans="4:4" x14ac:dyDescent="0.3">
      <c r="D135" s="3" t="str">
        <f>IF($B135&lt;&gt;"", SUM($B$2:B135), "")</f>
        <v/>
      </c>
    </row>
    <row r="136" spans="4:4" x14ac:dyDescent="0.3">
      <c r="D136" s="3" t="str">
        <f>IF($B136&lt;&gt;"", SUM($B$2:B136), "")</f>
        <v/>
      </c>
    </row>
    <row r="137" spans="4:4" x14ac:dyDescent="0.3">
      <c r="D137" s="3" t="str">
        <f>IF($B137&lt;&gt;"", SUM($B$2:B137), "")</f>
        <v/>
      </c>
    </row>
    <row r="138" spans="4:4" x14ac:dyDescent="0.3">
      <c r="D138" s="3" t="str">
        <f>IF($B138&lt;&gt;"", SUM($B$2:B138), "")</f>
        <v/>
      </c>
    </row>
    <row r="139" spans="4:4" x14ac:dyDescent="0.3">
      <c r="D139" s="3" t="str">
        <f>IF($B139&lt;&gt;"", SUM($B$2:B139), "")</f>
        <v/>
      </c>
    </row>
    <row r="140" spans="4:4" x14ac:dyDescent="0.3">
      <c r="D140" s="3" t="str">
        <f>IF($B140&lt;&gt;"", SUM($B$2:B140), "")</f>
        <v/>
      </c>
    </row>
    <row r="141" spans="4:4" x14ac:dyDescent="0.3">
      <c r="D141" s="3" t="str">
        <f>IF($B141&lt;&gt;"", SUM($B$2:B141), "")</f>
        <v/>
      </c>
    </row>
    <row r="142" spans="4:4" x14ac:dyDescent="0.3">
      <c r="D142" s="3" t="str">
        <f>IF($B142&lt;&gt;"", SUM($B$2:B142), "")</f>
        <v/>
      </c>
    </row>
    <row r="143" spans="4:4" x14ac:dyDescent="0.3">
      <c r="D143" s="3" t="str">
        <f>IF($B143&lt;&gt;"", SUM($B$2:B143), "")</f>
        <v/>
      </c>
    </row>
    <row r="144" spans="4:4" x14ac:dyDescent="0.3">
      <c r="D144" s="3" t="str">
        <f>IF($B144&lt;&gt;"", SUM($B$2:B144), "")</f>
        <v/>
      </c>
    </row>
    <row r="145" spans="4:4" x14ac:dyDescent="0.3">
      <c r="D145" s="3" t="str">
        <f>IF($B145&lt;&gt;"", SUM($B$2:B145), "")</f>
        <v/>
      </c>
    </row>
    <row r="146" spans="4:4" x14ac:dyDescent="0.3">
      <c r="D146" s="3" t="str">
        <f>IF($B146&lt;&gt;"", SUM($B$2:B146), "")</f>
        <v/>
      </c>
    </row>
    <row r="147" spans="4:4" x14ac:dyDescent="0.3">
      <c r="D147" s="3" t="str">
        <f>IF($B147&lt;&gt;"", SUM($B$2:B147), "")</f>
        <v/>
      </c>
    </row>
    <row r="148" spans="4:4" x14ac:dyDescent="0.3">
      <c r="D148" s="3" t="str">
        <f>IF($B148&lt;&gt;"", SUM($B$2:B148), "")</f>
        <v/>
      </c>
    </row>
    <row r="149" spans="4:4" x14ac:dyDescent="0.3">
      <c r="D149" s="3" t="str">
        <f>IF($B149&lt;&gt;"", SUM($B$2:B149), "")</f>
        <v/>
      </c>
    </row>
    <row r="150" spans="4:4" x14ac:dyDescent="0.3">
      <c r="D150" s="3" t="str">
        <f>IF($B150&lt;&gt;"", SUM($B$2:B150), "")</f>
        <v/>
      </c>
    </row>
    <row r="151" spans="4:4" x14ac:dyDescent="0.3">
      <c r="D151" s="3" t="str">
        <f>IF($B151&lt;&gt;"", SUM($B$2:B151), "")</f>
        <v/>
      </c>
    </row>
    <row r="152" spans="4:4" x14ac:dyDescent="0.3">
      <c r="D152" s="3" t="str">
        <f>IF($B152&lt;&gt;"", SUM($B$2:B152), "")</f>
        <v/>
      </c>
    </row>
  </sheetData>
  <conditionalFormatting sqref="B2:B22 B30:B83">
    <cfRule type="cellIs" dxfId="31" priority="4" operator="greaterThan">
      <formula>0</formula>
    </cfRule>
  </conditionalFormatting>
  <conditionalFormatting sqref="B2:B22 B30:B40">
    <cfRule type="cellIs" dxfId="30" priority="3" operator="lessThan">
      <formula>0</formula>
    </cfRule>
  </conditionalFormatting>
  <conditionalFormatting sqref="S34:S40">
    <cfRule type="cellIs" dxfId="29" priority="2" operator="greaterThan">
      <formula>0</formula>
    </cfRule>
  </conditionalFormatting>
  <conditionalFormatting sqref="S34:S40">
    <cfRule type="cellIs" dxfId="28" priority="1" operator="lessThan">
      <formula>0</formula>
    </cfRule>
  </conditionalFormatting>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9561A-4BF1-4ADA-8E81-D5A199DBFF27}">
  <sheetPr codeName="Sheet11"/>
  <dimension ref="A1:CB60"/>
  <sheetViews>
    <sheetView zoomScale="53" zoomScaleNormal="85" workbookViewId="0">
      <selection activeCell="D39" sqref="D39"/>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10" t="s">
        <v>0</v>
      </c>
      <c r="B1" s="11" t="s">
        <v>1</v>
      </c>
      <c r="C1" s="10" t="s">
        <v>2</v>
      </c>
      <c r="D1" s="10" t="s">
        <v>3</v>
      </c>
      <c r="E1" s="10" t="s">
        <v>4</v>
      </c>
      <c r="G1" s="4" t="str" cm="1">
        <f t="array" ref="G1">INDEX(D:D,MATCH(2,1/(D:D&lt;&gt;""),1))</f>
        <v>Total Balance</v>
      </c>
      <c r="CA1" t="s">
        <v>5</v>
      </c>
      <c r="CB1">
        <f>ABS(SUMIFS(B:B, C:C, "*Food*"))</f>
        <v>0</v>
      </c>
    </row>
    <row r="2" spans="1:80" x14ac:dyDescent="0.3">
      <c r="A2" s="1"/>
      <c r="D2" s="3" t="str">
        <f>IF($B2&lt;&gt;"", SUM($B$2:B2), "")</f>
        <v/>
      </c>
      <c r="E2" t="s">
        <v>27</v>
      </c>
      <c r="G2" t="s">
        <v>16</v>
      </c>
      <c r="CA2" t="s">
        <v>15</v>
      </c>
      <c r="CB2">
        <f>ABS(SUMIFS(B:B, C:C, "*Entertainment*"))</f>
        <v>0</v>
      </c>
    </row>
    <row r="3" spans="1:80" x14ac:dyDescent="0.3">
      <c r="A3" s="7"/>
      <c r="D3" s="3" t="str">
        <f>IF($B3&lt;&gt;"", SUM($B$2:B3), "")</f>
        <v/>
      </c>
      <c r="E3" t="s">
        <v>28</v>
      </c>
      <c r="CA3" t="s">
        <v>6</v>
      </c>
      <c r="CB3">
        <f>ABS(SUMIFS(B:B, C:C, "*Subscriptions*"))</f>
        <v>0</v>
      </c>
    </row>
    <row r="4" spans="1:80" x14ac:dyDescent="0.3">
      <c r="A4" s="1"/>
      <c r="D4" s="3" t="str">
        <f>IF($B4&lt;&gt;"", SUM($B$2:B4), "")</f>
        <v/>
      </c>
      <c r="E4" s="3"/>
      <c r="CA4" t="s">
        <v>7</v>
      </c>
      <c r="CB4">
        <f>ABS(SUMIFS(B:B, C:C, "*School*"))</f>
        <v>0</v>
      </c>
    </row>
    <row r="5" spans="1:80" x14ac:dyDescent="0.3">
      <c r="A5" s="1"/>
      <c r="D5" s="3" t="str">
        <f>IF($B5&lt;&gt;"", SUM($B$2:B5), "")</f>
        <v/>
      </c>
      <c r="CA5" t="s">
        <v>8</v>
      </c>
      <c r="CB5">
        <f>ABS(SUMIFS(B:B, C:C, "*Other*"))</f>
        <v>0</v>
      </c>
    </row>
    <row r="6" spans="1:80" x14ac:dyDescent="0.3">
      <c r="A6" s="1"/>
      <c r="D6" s="3" t="str">
        <f>IF($B6&lt;&gt;"", SUM($B$2:B6), "")</f>
        <v/>
      </c>
      <c r="N6" s="24" t="s">
        <v>9</v>
      </c>
      <c r="CA6" t="s">
        <v>25</v>
      </c>
      <c r="CB6">
        <f>ABS(SUMIFS(B:B, C:C, "*Housing*"))</f>
        <v>0</v>
      </c>
    </row>
    <row r="7" spans="1:80" x14ac:dyDescent="0.3">
      <c r="A7" s="1"/>
      <c r="D7" s="3" t="str">
        <f>IF($B7&lt;&gt;"", SUM($B$2:B7), "")</f>
        <v/>
      </c>
    </row>
    <row r="8" spans="1:80" x14ac:dyDescent="0.3">
      <c r="A8" s="1"/>
      <c r="D8" s="3" t="str">
        <f>IF($B8&lt;&gt;"", SUM($B$2:B8), "")</f>
        <v/>
      </c>
    </row>
    <row r="9" spans="1:80" x14ac:dyDescent="0.3">
      <c r="A9" s="1"/>
      <c r="D9" s="3" t="str">
        <f>IF($B9&lt;&gt;"", SUM($B$2:B9), "")</f>
        <v/>
      </c>
    </row>
    <row r="10" spans="1:80" x14ac:dyDescent="0.3">
      <c r="A10" s="1"/>
      <c r="D10" s="3" t="str">
        <f>IF($B10&lt;&gt;"", SUM($B$2:B10), "")</f>
        <v/>
      </c>
    </row>
    <row r="11" spans="1:80" x14ac:dyDescent="0.3">
      <c r="D11" s="3" t="str">
        <f>IF($B11&lt;&gt;"", SUM($B$2:B11), "")</f>
        <v/>
      </c>
    </row>
    <row r="12" spans="1:80" x14ac:dyDescent="0.3">
      <c r="D12" s="3" t="str">
        <f>IF($B12&lt;&gt;"", SUM($B$2:B12), "")</f>
        <v/>
      </c>
    </row>
    <row r="13" spans="1:80" x14ac:dyDescent="0.3">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sheetData>
  <conditionalFormatting sqref="B2:B22 B30:B83">
    <cfRule type="cellIs" dxfId="27" priority="4" operator="greaterThan">
      <formula>0</formula>
    </cfRule>
  </conditionalFormatting>
  <conditionalFormatting sqref="B2:B22 B30:B40">
    <cfRule type="cellIs" dxfId="26" priority="3" operator="lessThan">
      <formula>0</formula>
    </cfRule>
  </conditionalFormatting>
  <conditionalFormatting sqref="S34:S40">
    <cfRule type="cellIs" dxfId="25" priority="2" operator="greaterThan">
      <formula>0</formula>
    </cfRule>
  </conditionalFormatting>
  <conditionalFormatting sqref="S34:S40">
    <cfRule type="cellIs" dxfId="24" priority="1" operator="lessThan">
      <formula>0</formula>
    </cfRule>
  </conditionalFormatting>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40814-D076-4141-8FA5-76CBA81061CF}">
  <sheetPr codeName="Sheet12"/>
  <dimension ref="A1:CB64"/>
  <sheetViews>
    <sheetView zoomScale="54" zoomScaleNormal="85" workbookViewId="0">
      <selection activeCell="D40" sqref="D40"/>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12" t="s">
        <v>0</v>
      </c>
      <c r="B1" s="13" t="s">
        <v>1</v>
      </c>
      <c r="C1" s="12" t="s">
        <v>2</v>
      </c>
      <c r="D1" s="12" t="s">
        <v>3</v>
      </c>
      <c r="E1" s="12" t="s">
        <v>4</v>
      </c>
      <c r="G1" s="4" t="str" cm="1">
        <f t="array" ref="G1">INDEX(D:D,MATCH(2,1/(D:D&lt;&gt;""),1))</f>
        <v>Total Balance</v>
      </c>
      <c r="CA1" t="s">
        <v>5</v>
      </c>
      <c r="CB1">
        <f>ABS(SUMIFS(B:B, C:C, "*Food*"))</f>
        <v>0</v>
      </c>
    </row>
    <row r="2" spans="1:80" x14ac:dyDescent="0.3">
      <c r="A2" s="1"/>
      <c r="D2" s="3" t="str">
        <f>IF($B2&lt;&gt;"", SUM($B$2:B2), "")</f>
        <v/>
      </c>
      <c r="G2" t="s">
        <v>16</v>
      </c>
      <c r="CA2" t="s">
        <v>15</v>
      </c>
      <c r="CB2">
        <f>ABS(SUMIFS(D:D, C:C, "*Entertainment*"))</f>
        <v>0</v>
      </c>
    </row>
    <row r="3" spans="1:80" x14ac:dyDescent="0.3">
      <c r="A3" s="7"/>
      <c r="D3" s="3" t="str">
        <f>IF($B3&lt;&gt;"", SUM($B$2:B3), "")</f>
        <v/>
      </c>
      <c r="CA3" t="s">
        <v>6</v>
      </c>
      <c r="CB3">
        <f>ABS(SUMIFS(D:D, C:C, "*Subscriptions*"))</f>
        <v>0</v>
      </c>
    </row>
    <row r="4" spans="1:80" x14ac:dyDescent="0.3">
      <c r="A4" s="1"/>
      <c r="D4" s="3" t="str">
        <f>IF($B4&lt;&gt;"", SUM($B$2:B4), "")</f>
        <v/>
      </c>
      <c r="E4" s="3"/>
      <c r="CA4" t="s">
        <v>7</v>
      </c>
      <c r="CB4">
        <f>ABS(SUMIFS(D:D, C:C, "*School*"))</f>
        <v>0</v>
      </c>
    </row>
    <row r="5" spans="1:80" x14ac:dyDescent="0.3">
      <c r="A5" s="1"/>
      <c r="D5" s="3" t="str">
        <f>IF($B5&lt;&gt;"", SUM($B$2:B5), "")</f>
        <v/>
      </c>
      <c r="W5" s="29"/>
      <c r="CA5" t="s">
        <v>8</v>
      </c>
      <c r="CB5">
        <f>ABS(SUMIFS(D:D, C:C, "*Housing*"))</f>
        <v>0</v>
      </c>
    </row>
    <row r="6" spans="1:80" x14ac:dyDescent="0.3">
      <c r="A6" s="1"/>
      <c r="D6" s="3" t="str">
        <f>IF($B6&lt;&gt;"", SUM($B$2:B6), "")</f>
        <v/>
      </c>
      <c r="CA6" t="s">
        <v>25</v>
      </c>
      <c r="CB6">
        <f>ABS(SUMIFS(D:D, C:C, "*Other*"))</f>
        <v>0</v>
      </c>
    </row>
    <row r="7" spans="1:80" x14ac:dyDescent="0.3">
      <c r="A7" s="1"/>
      <c r="D7" s="3" t="str">
        <f>IF($B7&lt;&gt;"", SUM($B$2:B7), "")</f>
        <v/>
      </c>
    </row>
    <row r="8" spans="1:80" x14ac:dyDescent="0.3">
      <c r="A8" s="1"/>
      <c r="D8" s="3" t="str">
        <f>IF($B8&lt;&gt;"", SUM($B$2:B8), "")</f>
        <v/>
      </c>
    </row>
    <row r="9" spans="1:80" x14ac:dyDescent="0.3">
      <c r="A9" s="1"/>
      <c r="D9" s="3" t="str">
        <f>IF($B9&lt;&gt;"", SUM($B$2:B9), "")</f>
        <v/>
      </c>
    </row>
    <row r="10" spans="1:80" x14ac:dyDescent="0.3">
      <c r="A10" s="1"/>
      <c r="D10" s="3" t="str">
        <f>IF($B10&lt;&gt;"", SUM($B$2:B10), "")</f>
        <v/>
      </c>
    </row>
    <row r="11" spans="1:80" x14ac:dyDescent="0.3">
      <c r="D11" s="3" t="str">
        <f>IF($B11&lt;&gt;"", SUM($B$2:B11), "")</f>
        <v/>
      </c>
    </row>
    <row r="12" spans="1:80" x14ac:dyDescent="0.3">
      <c r="D12" s="3" t="str">
        <f>IF($B12&lt;&gt;"", SUM($B$2:B12), "")</f>
        <v/>
      </c>
    </row>
    <row r="13" spans="1:80" x14ac:dyDescent="0.3">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row r="61" spans="4:4" x14ac:dyDescent="0.3">
      <c r="D61" s="3" t="str">
        <f>IF($B61&lt;&gt;"", SUM($B$2:B61), "")</f>
        <v/>
      </c>
    </row>
    <row r="62" spans="4:4" x14ac:dyDescent="0.3">
      <c r="D62" s="3" t="str">
        <f>IF($B62&lt;&gt;"", SUM($B$2:B62), "")</f>
        <v/>
      </c>
    </row>
    <row r="63" spans="4:4" x14ac:dyDescent="0.3">
      <c r="D63" s="3" t="str">
        <f>IF($B63&lt;&gt;"", SUM($B$2:B63), "")</f>
        <v/>
      </c>
    </row>
    <row r="64" spans="4:4" x14ac:dyDescent="0.3">
      <c r="D64" s="3" t="str">
        <f>IF($B64&lt;&gt;"", SUM($B$2:B64), "")</f>
        <v/>
      </c>
    </row>
  </sheetData>
  <conditionalFormatting sqref="B2:B22 B30:B83">
    <cfRule type="cellIs" dxfId="23" priority="4" operator="greaterThan">
      <formula>0</formula>
    </cfRule>
  </conditionalFormatting>
  <conditionalFormatting sqref="B2:B22 B30:B40">
    <cfRule type="cellIs" dxfId="22" priority="3" operator="lessThan">
      <formula>0</formula>
    </cfRule>
  </conditionalFormatting>
  <conditionalFormatting sqref="S34:S40">
    <cfRule type="cellIs" dxfId="21" priority="2" operator="greaterThan">
      <formula>0</formula>
    </cfRule>
  </conditionalFormatting>
  <conditionalFormatting sqref="S34:S40">
    <cfRule type="cellIs" dxfId="20" priority="1" operator="lessThan">
      <formula>0</formula>
    </cfRule>
  </conditionalFormatting>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348B3-0D3C-4675-9FB2-0A9E88C84412}">
  <sheetPr codeName="Sheet13"/>
  <dimension ref="A1:CB62"/>
  <sheetViews>
    <sheetView zoomScale="62" zoomScaleNormal="85" workbookViewId="0">
      <selection activeCell="D33" sqref="D33"/>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14" t="s">
        <v>0</v>
      </c>
      <c r="B1" s="15" t="s">
        <v>1</v>
      </c>
      <c r="C1" s="14" t="s">
        <v>2</v>
      </c>
      <c r="D1" s="14" t="s">
        <v>3</v>
      </c>
      <c r="E1" s="14" t="s">
        <v>4</v>
      </c>
      <c r="G1" s="4" t="str" cm="1">
        <f t="array" ref="G1">INDEX(D:D,MATCH(2,1/(D:D&lt;&gt;""),1))</f>
        <v>Total Balance</v>
      </c>
      <c r="CA1" t="s">
        <v>5</v>
      </c>
      <c r="CB1">
        <f>ABS(SUMIFS(D:D, C:C, "*Food*"))</f>
        <v>0</v>
      </c>
    </row>
    <row r="2" spans="1:80" x14ac:dyDescent="0.3">
      <c r="A2" s="1"/>
      <c r="D2" s="3" t="str">
        <f>IF($B2&lt;&gt;"", SUM($B$2:B2), "")</f>
        <v/>
      </c>
      <c r="G2" t="s">
        <v>17</v>
      </c>
      <c r="CA2" t="s">
        <v>15</v>
      </c>
      <c r="CB2">
        <f>ABS(SUMIFS(D:D, C:C, "*Entertainment*"))</f>
        <v>0</v>
      </c>
    </row>
    <row r="3" spans="1:80" x14ac:dyDescent="0.3">
      <c r="A3" s="7"/>
      <c r="D3" s="3" t="str">
        <f>IF($B3&lt;&gt;"", SUM($B$2:B3), "")</f>
        <v/>
      </c>
      <c r="CA3" t="s">
        <v>6</v>
      </c>
      <c r="CB3">
        <f>ABS(SUMIFS(D:D, C:C, "*Subscriptions*"))</f>
        <v>0</v>
      </c>
    </row>
    <row r="4" spans="1:80" x14ac:dyDescent="0.3">
      <c r="A4" s="1"/>
      <c r="D4" s="3" t="str">
        <f>IF($B4&lt;&gt;"", SUM($B$2:B4), "")</f>
        <v/>
      </c>
      <c r="E4" s="3"/>
      <c r="CA4" t="s">
        <v>7</v>
      </c>
      <c r="CB4">
        <f>ABS(SUMIFS(D:D, C:C, "*School*"))</f>
        <v>0</v>
      </c>
    </row>
    <row r="5" spans="1:80" x14ac:dyDescent="0.3">
      <c r="A5" s="1"/>
      <c r="D5" s="3" t="str">
        <f>IF($B5&lt;&gt;"", SUM($B$2:B5), "")</f>
        <v/>
      </c>
      <c r="CA5" t="s">
        <v>8</v>
      </c>
      <c r="CB5">
        <f>ABS(SUMIFS(D:D, C:C, "*Other*"))</f>
        <v>0</v>
      </c>
    </row>
    <row r="6" spans="1:80" x14ac:dyDescent="0.3">
      <c r="A6" s="1"/>
      <c r="D6" s="3" t="str">
        <f>IF($B6&lt;&gt;"", SUM($B$2:B6), "")</f>
        <v/>
      </c>
      <c r="CA6" t="s">
        <v>25</v>
      </c>
      <c r="CB6">
        <f>ABS(SUMIFS(D:D, C:C, "*Housing*"))</f>
        <v>0</v>
      </c>
    </row>
    <row r="7" spans="1:80" x14ac:dyDescent="0.3">
      <c r="A7" s="1"/>
      <c r="D7" s="3" t="str">
        <f>IF($B7&lt;&gt;"", SUM($B$2:B7), "")</f>
        <v/>
      </c>
    </row>
    <row r="8" spans="1:80" x14ac:dyDescent="0.3">
      <c r="A8" s="1"/>
      <c r="D8" s="3" t="str">
        <f>IF($B8&lt;&gt;"", SUM($B$2:B8), "")</f>
        <v/>
      </c>
    </row>
    <row r="9" spans="1:80" x14ac:dyDescent="0.3">
      <c r="A9" s="1"/>
      <c r="D9" s="3" t="str">
        <f>IF($B9&lt;&gt;"", SUM($B$2:B9), "")</f>
        <v/>
      </c>
    </row>
    <row r="10" spans="1:80" x14ac:dyDescent="0.3">
      <c r="A10" s="1"/>
      <c r="D10" s="3" t="str">
        <f>IF($B10&lt;&gt;"", SUM($B$2:B10), "")</f>
        <v/>
      </c>
    </row>
    <row r="11" spans="1:80" x14ac:dyDescent="0.3">
      <c r="D11" s="3" t="str">
        <f>IF($B11&lt;&gt;"", SUM($B$2:B11), "")</f>
        <v/>
      </c>
    </row>
    <row r="12" spans="1:80" x14ac:dyDescent="0.3">
      <c r="D12" s="3" t="str">
        <f>IF($B12&lt;&gt;"", SUM($B$2:B12), "")</f>
        <v/>
      </c>
    </row>
    <row r="13" spans="1:80" x14ac:dyDescent="0.3">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row r="61" spans="4:4" x14ac:dyDescent="0.3">
      <c r="D61" s="3" t="str">
        <f>IF($B61&lt;&gt;"", SUM($B$2:B61), "")</f>
        <v/>
      </c>
    </row>
    <row r="62" spans="4:4" x14ac:dyDescent="0.3">
      <c r="D62" s="3" t="str">
        <f>IF($B62&lt;&gt;"", SUM($B$2:B62), "")</f>
        <v/>
      </c>
    </row>
  </sheetData>
  <conditionalFormatting sqref="B2:B22 B30:B83">
    <cfRule type="cellIs" dxfId="19" priority="4" operator="greaterThan">
      <formula>0</formula>
    </cfRule>
  </conditionalFormatting>
  <conditionalFormatting sqref="B2:B22 B30:B40">
    <cfRule type="cellIs" dxfId="18" priority="3" operator="lessThan">
      <formula>0</formula>
    </cfRule>
  </conditionalFormatting>
  <conditionalFormatting sqref="S34:S40">
    <cfRule type="cellIs" dxfId="17" priority="2" operator="greaterThan">
      <formula>0</formula>
    </cfRule>
  </conditionalFormatting>
  <conditionalFormatting sqref="S34:S40">
    <cfRule type="cellIs" dxfId="16" priority="1" operator="lessThan">
      <formula>0</formula>
    </cfRule>
  </conditionalFormatting>
  <pageMargins left="0.7" right="0.7" top="0.75" bottom="0.75" header="0.3" footer="0.3"/>
  <pageSetup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D91E0-9896-4463-9E2C-8AE9D79C8419}">
  <sheetPr codeName="Sheet14"/>
  <dimension ref="A1:CB89"/>
  <sheetViews>
    <sheetView topLeftCell="A12" zoomScale="43" zoomScaleNormal="85" workbookViewId="0">
      <selection activeCell="D84" sqref="D84"/>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16" t="s">
        <v>0</v>
      </c>
      <c r="B1" s="17" t="s">
        <v>1</v>
      </c>
      <c r="C1" s="16" t="s">
        <v>2</v>
      </c>
      <c r="D1" s="16" t="s">
        <v>3</v>
      </c>
      <c r="E1" s="16" t="s">
        <v>4</v>
      </c>
      <c r="G1" s="4" t="str" cm="1">
        <f t="array" ref="G1">INDEX(D:D,MATCH(2,1/(D:D&lt;&gt;""),1))</f>
        <v>Total Balance</v>
      </c>
      <c r="CA1" t="s">
        <v>5</v>
      </c>
      <c r="CB1">
        <f>ABS(SUMIFS(B:B, C:C, "*Food*"))</f>
        <v>0</v>
      </c>
    </row>
    <row r="2" spans="1:80" x14ac:dyDescent="0.3">
      <c r="A2" s="1"/>
      <c r="D2" s="3" t="str">
        <f>IF($B2&lt;&gt;"", SUM($B$2:B2), "")</f>
        <v/>
      </c>
      <c r="G2" t="s">
        <v>17</v>
      </c>
      <c r="CA2" t="s">
        <v>15</v>
      </c>
      <c r="CB2">
        <f>ABS(SUMIFS(B:B, C:C, "*Entertainment*"))</f>
        <v>0</v>
      </c>
    </row>
    <row r="3" spans="1:80" x14ac:dyDescent="0.3">
      <c r="A3" s="7"/>
      <c r="D3" s="3" t="str">
        <f>IF($B3&lt;&gt;"", SUM($B$2:B3), "")</f>
        <v/>
      </c>
      <c r="CA3" t="s">
        <v>6</v>
      </c>
      <c r="CB3">
        <f>ABS(SUMIFS(B:B, C:C, "*Subscriptions*"))</f>
        <v>0</v>
      </c>
    </row>
    <row r="4" spans="1:80" x14ac:dyDescent="0.3">
      <c r="A4" s="1"/>
      <c r="D4" s="3" t="str">
        <f>IF($B4&lt;&gt;"", SUM($B$2:B4), "")</f>
        <v/>
      </c>
      <c r="E4" s="3"/>
      <c r="CA4" t="s">
        <v>7</v>
      </c>
      <c r="CB4">
        <f>ABS(SUMIFS(B:B, C:C, "*School*"))</f>
        <v>0</v>
      </c>
    </row>
    <row r="5" spans="1:80" x14ac:dyDescent="0.3">
      <c r="A5" s="1"/>
      <c r="D5" s="3" t="str">
        <f>IF($B5&lt;&gt;"", SUM($B$2:B5), "")</f>
        <v/>
      </c>
      <c r="CA5" t="s">
        <v>8</v>
      </c>
      <c r="CB5">
        <f>ABS(SUMIFS(B:B, C:C, "*Other*"))</f>
        <v>0</v>
      </c>
    </row>
    <row r="6" spans="1:80" x14ac:dyDescent="0.3">
      <c r="A6" s="1"/>
      <c r="D6" s="3" t="str">
        <f>IF($B6&lt;&gt;"", SUM($B$2:B6), "")</f>
        <v/>
      </c>
      <c r="CA6" t="s">
        <v>25</v>
      </c>
      <c r="CB6">
        <f>ABS(SUMIFS(B:B, C:C, "*Housing*"))</f>
        <v>0</v>
      </c>
    </row>
    <row r="7" spans="1:80" x14ac:dyDescent="0.3">
      <c r="A7" s="1"/>
      <c r="D7" s="3" t="str">
        <f>IF($B7&lt;&gt;"", SUM($B$2:B7), "")</f>
        <v/>
      </c>
    </row>
    <row r="8" spans="1:80" x14ac:dyDescent="0.3">
      <c r="A8" s="1"/>
      <c r="D8" s="3" t="str">
        <f>IF($B8&lt;&gt;"", SUM($B$2:B8), "")</f>
        <v/>
      </c>
    </row>
    <row r="9" spans="1:80" x14ac:dyDescent="0.3">
      <c r="A9" s="1"/>
      <c r="D9" s="3" t="str">
        <f>IF($B9&lt;&gt;"", SUM($B$2:B9), "")</f>
        <v/>
      </c>
    </row>
    <row r="10" spans="1:80" x14ac:dyDescent="0.3">
      <c r="A10" s="1"/>
      <c r="D10" s="3" t="str">
        <f>IF($B10&lt;&gt;"", SUM($B$2:B10), "")</f>
        <v/>
      </c>
    </row>
    <row r="11" spans="1:80" x14ac:dyDescent="0.3">
      <c r="D11" s="3" t="str">
        <f>IF($B11&lt;&gt;"", SUM($B$2:B11), "")</f>
        <v/>
      </c>
    </row>
    <row r="12" spans="1:80" x14ac:dyDescent="0.3">
      <c r="D12" s="3" t="str">
        <f>IF($B12&lt;&gt;"", SUM($B$2:B12), "")</f>
        <v/>
      </c>
    </row>
    <row r="13" spans="1:80" x14ac:dyDescent="0.3">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row r="61" spans="4:4" x14ac:dyDescent="0.3">
      <c r="D61" s="3" t="str">
        <f>IF($B61&lt;&gt;"", SUM($B$2:B61), "")</f>
        <v/>
      </c>
    </row>
    <row r="62" spans="4:4" x14ac:dyDescent="0.3">
      <c r="D62" s="3" t="str">
        <f>IF($B62&lt;&gt;"", SUM($B$2:B62), "")</f>
        <v/>
      </c>
    </row>
    <row r="63" spans="4:4" x14ac:dyDescent="0.3">
      <c r="D63" s="3" t="str">
        <f>IF($B63&lt;&gt;"", SUM($B$2:B63), "")</f>
        <v/>
      </c>
    </row>
    <row r="64" spans="4:4" x14ac:dyDescent="0.3">
      <c r="D64" s="3" t="str">
        <f>IF($B64&lt;&gt;"", SUM($B$2:B64), "")</f>
        <v/>
      </c>
    </row>
    <row r="65" spans="4:4" x14ac:dyDescent="0.3">
      <c r="D65" s="3" t="str">
        <f>IF($B65&lt;&gt;"", SUM($B$2:B65), "")</f>
        <v/>
      </c>
    </row>
    <row r="66" spans="4:4" x14ac:dyDescent="0.3">
      <c r="D66" s="3" t="str">
        <f>IF($B66&lt;&gt;"", SUM($B$2:B66), "")</f>
        <v/>
      </c>
    </row>
    <row r="67" spans="4:4" x14ac:dyDescent="0.3">
      <c r="D67" s="3" t="str">
        <f>IF($B67&lt;&gt;"", SUM($B$2:B67), "")</f>
        <v/>
      </c>
    </row>
    <row r="68" spans="4:4" x14ac:dyDescent="0.3">
      <c r="D68" s="3" t="str">
        <f>IF($B68&lt;&gt;"", SUM($B$2:B68), "")</f>
        <v/>
      </c>
    </row>
    <row r="69" spans="4:4" x14ac:dyDescent="0.3">
      <c r="D69" s="3" t="str">
        <f>IF($B69&lt;&gt;"", SUM($B$2:B69), "")</f>
        <v/>
      </c>
    </row>
    <row r="70" spans="4:4" x14ac:dyDescent="0.3">
      <c r="D70" s="3" t="str">
        <f>IF($B70&lt;&gt;"", SUM($B$2:B70), "")</f>
        <v/>
      </c>
    </row>
    <row r="71" spans="4:4" x14ac:dyDescent="0.3">
      <c r="D71" s="3" t="str">
        <f>IF($B71&lt;&gt;"", SUM($B$2:B71), "")</f>
        <v/>
      </c>
    </row>
    <row r="72" spans="4:4" x14ac:dyDescent="0.3">
      <c r="D72" s="3" t="str">
        <f>IF($B72&lt;&gt;"", SUM($B$2:B72), "")</f>
        <v/>
      </c>
    </row>
    <row r="73" spans="4:4" x14ac:dyDescent="0.3">
      <c r="D73" s="3" t="str">
        <f>IF($B73&lt;&gt;"", SUM($B$2:B73), "")</f>
        <v/>
      </c>
    </row>
    <row r="74" spans="4:4" x14ac:dyDescent="0.3">
      <c r="D74" s="3" t="str">
        <f>IF($B74&lt;&gt;"", SUM($B$2:B74), "")</f>
        <v/>
      </c>
    </row>
    <row r="75" spans="4:4" x14ac:dyDescent="0.3">
      <c r="D75" s="3" t="str">
        <f>IF($B75&lt;&gt;"", SUM($B$2:B75), "")</f>
        <v/>
      </c>
    </row>
    <row r="76" spans="4:4" x14ac:dyDescent="0.3">
      <c r="D76" s="3" t="str">
        <f>IF($B76&lt;&gt;"", SUM($B$2:B76), "")</f>
        <v/>
      </c>
    </row>
    <row r="77" spans="4:4" x14ac:dyDescent="0.3">
      <c r="D77" s="3" t="str">
        <f>IF($B77&lt;&gt;"", SUM($B$2:B77), "")</f>
        <v/>
      </c>
    </row>
    <row r="78" spans="4:4" x14ac:dyDescent="0.3">
      <c r="D78" s="3" t="str">
        <f>IF($B78&lt;&gt;"", SUM($B$2:B78), "")</f>
        <v/>
      </c>
    </row>
    <row r="79" spans="4:4" x14ac:dyDescent="0.3">
      <c r="D79" s="3" t="str">
        <f>IF($B79&lt;&gt;"", SUM($B$2:B79), "")</f>
        <v/>
      </c>
    </row>
    <row r="80" spans="4:4" x14ac:dyDescent="0.3">
      <c r="D80" s="3" t="str">
        <f>IF($B80&lt;&gt;"", SUM($B$2:B80), "")</f>
        <v/>
      </c>
    </row>
    <row r="81" spans="4:4" x14ac:dyDescent="0.3">
      <c r="D81" s="3" t="str">
        <f>IF($B81&lt;&gt;"", SUM($B$2:B81), "")</f>
        <v/>
      </c>
    </row>
    <row r="82" spans="4:4" x14ac:dyDescent="0.3">
      <c r="D82" s="3" t="str">
        <f>IF($B82&lt;&gt;"", SUM($B$2:B82), "")</f>
        <v/>
      </c>
    </row>
    <row r="83" spans="4:4" x14ac:dyDescent="0.3">
      <c r="D83" s="3" t="str">
        <f>IF($B83&lt;&gt;"", SUM($B$2:B83), "")</f>
        <v/>
      </c>
    </row>
    <row r="84" spans="4:4" x14ac:dyDescent="0.3">
      <c r="D84" s="3" t="str">
        <f>IF($B84&lt;&gt;"", SUM($B$2:B84), "")</f>
        <v/>
      </c>
    </row>
    <row r="85" spans="4:4" x14ac:dyDescent="0.3">
      <c r="D85" s="3" t="str">
        <f>IF($B85&lt;&gt;"", SUM($B$2:B85), "")</f>
        <v/>
      </c>
    </row>
    <row r="86" spans="4:4" x14ac:dyDescent="0.3">
      <c r="D86" s="3" t="str">
        <f>IF($B86&lt;&gt;"", SUM($B$2:B86), "")</f>
        <v/>
      </c>
    </row>
    <row r="87" spans="4:4" x14ac:dyDescent="0.3">
      <c r="D87" s="3" t="str">
        <f>IF($B87&lt;&gt;"", SUM($B$2:B87), "")</f>
        <v/>
      </c>
    </row>
    <row r="88" spans="4:4" x14ac:dyDescent="0.3">
      <c r="D88" s="3" t="str">
        <f>IF($B88&lt;&gt;"", SUM($B$2:B88), "")</f>
        <v/>
      </c>
    </row>
    <row r="89" spans="4:4" x14ac:dyDescent="0.3">
      <c r="D89" s="3" t="str">
        <f>IF($B89&lt;&gt;"", SUM($B$2:B89), "")</f>
        <v/>
      </c>
    </row>
  </sheetData>
  <conditionalFormatting sqref="B2:B22 B30:B83">
    <cfRule type="cellIs" dxfId="15" priority="4" operator="greaterThan">
      <formula>0</formula>
    </cfRule>
  </conditionalFormatting>
  <conditionalFormatting sqref="B2:B22 B30:B40">
    <cfRule type="cellIs" dxfId="14" priority="3" operator="lessThan">
      <formula>0</formula>
    </cfRule>
  </conditionalFormatting>
  <conditionalFormatting sqref="S34:S40">
    <cfRule type="cellIs" dxfId="13" priority="2" operator="greaterThan">
      <formula>0</formula>
    </cfRule>
  </conditionalFormatting>
  <conditionalFormatting sqref="S34:S40">
    <cfRule type="cellIs" dxfId="12" priority="1" operator="lessThan">
      <formula>0</formula>
    </cfRule>
  </conditionalFormatting>
  <pageMargins left="0.7" right="0.7" top="0.75" bottom="0.75" header="0.3" footer="0.3"/>
  <pageSetup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0FB9D-5E13-4AB4-89A6-9B55B8B8AF4A}">
  <sheetPr codeName="Sheet15"/>
  <dimension ref="A1:CB78"/>
  <sheetViews>
    <sheetView topLeftCell="A24" zoomScale="60" zoomScaleNormal="85" workbookViewId="0">
      <selection activeCell="D62" sqref="D62:D78"/>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18" t="s">
        <v>0</v>
      </c>
      <c r="B1" s="19" t="s">
        <v>1</v>
      </c>
      <c r="C1" s="18" t="s">
        <v>2</v>
      </c>
      <c r="D1" s="18" t="s">
        <v>3</v>
      </c>
      <c r="E1" s="18" t="s">
        <v>4</v>
      </c>
      <c r="G1" s="4" t="str" cm="1">
        <f t="array" ref="G1">INDEX(D:D,MATCH(2,1/(D:D&lt;&gt;""),1))</f>
        <v>Total Balance</v>
      </c>
      <c r="CA1" t="s">
        <v>5</v>
      </c>
      <c r="CB1">
        <f>ABS(SUMIFS(B:B, C:C, "*Food*"))</f>
        <v>0</v>
      </c>
    </row>
    <row r="2" spans="1:80" x14ac:dyDescent="0.3">
      <c r="A2" s="1"/>
      <c r="D2" s="3" t="str">
        <f>IF($B2&lt;&gt;"", SUM($B$2:B2), "")</f>
        <v/>
      </c>
      <c r="G2" t="s">
        <v>17</v>
      </c>
      <c r="CA2" t="s">
        <v>15</v>
      </c>
      <c r="CB2">
        <f>ABS(SUMIFS(B:B, C:C, "*Entertainment*"))</f>
        <v>0</v>
      </c>
    </row>
    <row r="3" spans="1:80" x14ac:dyDescent="0.3">
      <c r="A3" s="7"/>
      <c r="D3" s="3" t="str">
        <f>IF($B3&lt;&gt;"", SUM($B$2:B3), "")</f>
        <v/>
      </c>
      <c r="CA3" t="s">
        <v>6</v>
      </c>
      <c r="CB3">
        <f>ABS(SUMIFS(B:B, C:C, "*Subscriptions*"))</f>
        <v>0</v>
      </c>
    </row>
    <row r="4" spans="1:80" x14ac:dyDescent="0.3">
      <c r="A4" s="1"/>
      <c r="D4" s="3" t="str">
        <f>IF($B4&lt;&gt;"", SUM($B$2:B4), "")</f>
        <v/>
      </c>
      <c r="E4" s="3"/>
      <c r="CA4" t="s">
        <v>7</v>
      </c>
      <c r="CB4">
        <f>ABS(SUMIFS(B:B, C:C, "*School*"))</f>
        <v>0</v>
      </c>
    </row>
    <row r="5" spans="1:80" x14ac:dyDescent="0.3">
      <c r="A5" s="1"/>
      <c r="D5" s="3" t="str">
        <f>IF($B5&lt;&gt;"", SUM($B$2:B5), "")</f>
        <v/>
      </c>
      <c r="CA5" t="s">
        <v>8</v>
      </c>
      <c r="CB5">
        <f>ABS(SUMIFS(B:B, C:C, "*Housing*"))</f>
        <v>0</v>
      </c>
    </row>
    <row r="6" spans="1:80" x14ac:dyDescent="0.3">
      <c r="A6" s="1"/>
      <c r="D6" s="3" t="str">
        <f>IF($B6&lt;&gt;"", SUM($B$2:B6), "")</f>
        <v/>
      </c>
      <c r="CA6" t="s">
        <v>25</v>
      </c>
      <c r="CB6">
        <f>ABS(SUMIFS(B:B, C:C, "*Other*"))</f>
        <v>0</v>
      </c>
    </row>
    <row r="7" spans="1:80" x14ac:dyDescent="0.3">
      <c r="A7" s="1"/>
      <c r="D7" s="3" t="str">
        <f>IF($B7&lt;&gt;"", SUM($B$2:B7), "")</f>
        <v/>
      </c>
    </row>
    <row r="8" spans="1:80" x14ac:dyDescent="0.3">
      <c r="A8" s="1"/>
      <c r="D8" s="3" t="str">
        <f>IF($B8&lt;&gt;"", SUM($B$2:B8), "")</f>
        <v/>
      </c>
    </row>
    <row r="9" spans="1:80" x14ac:dyDescent="0.3">
      <c r="A9" s="1"/>
      <c r="D9" s="3" t="str">
        <f>IF($B9&lt;&gt;"", SUM($B$2:B9), "")</f>
        <v/>
      </c>
    </row>
    <row r="10" spans="1:80" x14ac:dyDescent="0.3">
      <c r="A10" s="1"/>
      <c r="D10" s="3" t="str">
        <f>IF($B10&lt;&gt;"", SUM($B$2:B10), "")</f>
        <v/>
      </c>
    </row>
    <row r="11" spans="1:80" x14ac:dyDescent="0.3">
      <c r="D11" s="3" t="str">
        <f>IF($B11&lt;&gt;"", SUM($B$2:B11), "")</f>
        <v/>
      </c>
    </row>
    <row r="12" spans="1:80" x14ac:dyDescent="0.3">
      <c r="D12" s="3" t="str">
        <f>IF($B12&lt;&gt;"", SUM($B$2:B12), "")</f>
        <v/>
      </c>
    </row>
    <row r="13" spans="1:80" x14ac:dyDescent="0.3">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row r="61" spans="4:4" x14ac:dyDescent="0.3">
      <c r="D61" s="3" t="str">
        <f>IF($B61&lt;&gt;"", SUM($B$2:B61), "")</f>
        <v/>
      </c>
    </row>
    <row r="62" spans="4:4" x14ac:dyDescent="0.3">
      <c r="D62" s="3" t="str">
        <f>IF($B62&lt;&gt;"", SUM($B$2:B62), "")</f>
        <v/>
      </c>
    </row>
    <row r="63" spans="4:4" x14ac:dyDescent="0.3">
      <c r="D63" s="3" t="str">
        <f>IF($B63&lt;&gt;"", SUM($B$2:B63), "")</f>
        <v/>
      </c>
    </row>
    <row r="64" spans="4:4" x14ac:dyDescent="0.3">
      <c r="D64" s="3" t="str">
        <f>IF($B64&lt;&gt;"", SUM($B$2:B64), "")</f>
        <v/>
      </c>
    </row>
    <row r="65" spans="4:4" x14ac:dyDescent="0.3">
      <c r="D65" s="3" t="str">
        <f>IF($B65&lt;&gt;"", SUM($B$2:B65), "")</f>
        <v/>
      </c>
    </row>
    <row r="66" spans="4:4" x14ac:dyDescent="0.3">
      <c r="D66" s="3" t="str">
        <f>IF($B66&lt;&gt;"", SUM($B$2:B66), "")</f>
        <v/>
      </c>
    </row>
    <row r="67" spans="4:4" x14ac:dyDescent="0.3">
      <c r="D67" s="3" t="str">
        <f>IF($B67&lt;&gt;"", SUM($B$2:B67), "")</f>
        <v/>
      </c>
    </row>
    <row r="68" spans="4:4" x14ac:dyDescent="0.3">
      <c r="D68" s="3" t="str">
        <f>IF($B68&lt;&gt;"", SUM($B$2:B68), "")</f>
        <v/>
      </c>
    </row>
    <row r="69" spans="4:4" x14ac:dyDescent="0.3">
      <c r="D69" s="3" t="str">
        <f>IF($B69&lt;&gt;"", SUM($B$2:B69), "")</f>
        <v/>
      </c>
    </row>
    <row r="70" spans="4:4" x14ac:dyDescent="0.3">
      <c r="D70" s="3" t="str">
        <f>IF($B70&lt;&gt;"", SUM($B$2:B70), "")</f>
        <v/>
      </c>
    </row>
    <row r="71" spans="4:4" x14ac:dyDescent="0.3">
      <c r="D71" s="3" t="str">
        <f>IF($B71&lt;&gt;"", SUM($B$2:B71), "")</f>
        <v/>
      </c>
    </row>
    <row r="72" spans="4:4" x14ac:dyDescent="0.3">
      <c r="D72" s="3" t="str">
        <f>IF($B72&lt;&gt;"", SUM($B$2:B72), "")</f>
        <v/>
      </c>
    </row>
    <row r="73" spans="4:4" x14ac:dyDescent="0.3">
      <c r="D73" s="3" t="str">
        <f>IF($B73&lt;&gt;"", SUM($B$2:B73), "")</f>
        <v/>
      </c>
    </row>
    <row r="74" spans="4:4" x14ac:dyDescent="0.3">
      <c r="D74" s="3" t="str">
        <f>IF($B74&lt;&gt;"", SUM($B$2:B74), "")</f>
        <v/>
      </c>
    </row>
    <row r="75" spans="4:4" x14ac:dyDescent="0.3">
      <c r="D75" s="3" t="str">
        <f>IF($B75&lt;&gt;"", SUM($B$2:B75), "")</f>
        <v/>
      </c>
    </row>
    <row r="76" spans="4:4" x14ac:dyDescent="0.3">
      <c r="D76" s="3" t="str">
        <f>IF($B76&lt;&gt;"", SUM($B$2:B76), "")</f>
        <v/>
      </c>
    </row>
    <row r="77" spans="4:4" x14ac:dyDescent="0.3">
      <c r="D77" s="3" t="str">
        <f>IF($B77&lt;&gt;"", SUM($B$2:B77), "")</f>
        <v/>
      </c>
    </row>
    <row r="78" spans="4:4" x14ac:dyDescent="0.3">
      <c r="D78" s="3" t="str">
        <f>IF($B78&lt;&gt;"", SUM($B$2:B78), "")</f>
        <v/>
      </c>
    </row>
  </sheetData>
  <conditionalFormatting sqref="B2:B22 B30:B83">
    <cfRule type="cellIs" dxfId="11" priority="4" operator="greaterThan">
      <formula>0</formula>
    </cfRule>
  </conditionalFormatting>
  <conditionalFormatting sqref="B2:B22 B30:B40">
    <cfRule type="cellIs" dxfId="10" priority="3" operator="lessThan">
      <formula>0</formula>
    </cfRule>
  </conditionalFormatting>
  <conditionalFormatting sqref="S34:S40">
    <cfRule type="cellIs" dxfId="9" priority="2" operator="greaterThan">
      <formula>0</formula>
    </cfRule>
  </conditionalFormatting>
  <conditionalFormatting sqref="S34:S40">
    <cfRule type="cellIs" dxfId="8" priority="1" operator="lessThan">
      <formula>0</formula>
    </cfRule>
  </conditionalFormatting>
  <pageMargins left="0.7" right="0.7"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37BA8-2841-439A-8CDD-A7422223817F}">
  <sheetPr codeName="Sheet16"/>
  <dimension ref="A1:CB62"/>
  <sheetViews>
    <sheetView topLeftCell="A7" zoomScale="57" zoomScaleNormal="85" workbookViewId="0">
      <selection activeCell="D48" sqref="D48:D61"/>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20" t="s">
        <v>0</v>
      </c>
      <c r="B1" s="21" t="s">
        <v>1</v>
      </c>
      <c r="C1" s="20" t="s">
        <v>2</v>
      </c>
      <c r="D1" s="20" t="s">
        <v>3</v>
      </c>
      <c r="E1" s="20" t="s">
        <v>4</v>
      </c>
      <c r="G1" s="4" t="str" cm="1">
        <f t="array" ref="G1">INDEX(D:D,MATCH(2,1/(D:D&lt;&gt;""),1))</f>
        <v>Total Balance</v>
      </c>
      <c r="CA1" t="s">
        <v>5</v>
      </c>
      <c r="CB1">
        <f>ABS(SUMIFS(B:B, C:C, "*Food*"))</f>
        <v>0</v>
      </c>
    </row>
    <row r="2" spans="1:80" x14ac:dyDescent="0.3">
      <c r="A2" s="1"/>
      <c r="D2" s="3" t="str">
        <f>IF($B2&lt;&gt;"", SUM($B$2:B2), "")</f>
        <v/>
      </c>
      <c r="G2" t="s">
        <v>17</v>
      </c>
      <c r="CA2" t="s">
        <v>15</v>
      </c>
      <c r="CB2">
        <f>ABS(SUMIFS(B:B, C:C, "*Entertainment*"))</f>
        <v>0</v>
      </c>
    </row>
    <row r="3" spans="1:80" x14ac:dyDescent="0.3">
      <c r="A3" s="7"/>
      <c r="D3" s="3" t="str">
        <f>IF($B3&lt;&gt;"", SUM($B$2:B3), "")</f>
        <v/>
      </c>
      <c r="CA3" t="s">
        <v>6</v>
      </c>
      <c r="CB3">
        <f>ABS(SUMIFS(B:B, C:C, "*Subscriptions*"))</f>
        <v>0</v>
      </c>
    </row>
    <row r="4" spans="1:80" x14ac:dyDescent="0.3">
      <c r="A4" s="1"/>
      <c r="D4" s="3" t="str">
        <f>IF($B4&lt;&gt;"", SUM($B$2:B4), "")</f>
        <v/>
      </c>
      <c r="E4" s="3"/>
      <c r="CA4" t="s">
        <v>7</v>
      </c>
      <c r="CB4">
        <f>ABS(SUMIFS(B:B, C:C, "*School*"))</f>
        <v>0</v>
      </c>
    </row>
    <row r="5" spans="1:80" x14ac:dyDescent="0.3">
      <c r="A5" s="1"/>
      <c r="D5" s="3" t="str">
        <f>IF($B5&lt;&gt;"", SUM($B$2:B5), "")</f>
        <v/>
      </c>
      <c r="CA5" t="s">
        <v>8</v>
      </c>
      <c r="CB5">
        <f>ABS(SUMIFS(B:B, C:C, "*Housing*"))</f>
        <v>0</v>
      </c>
    </row>
    <row r="6" spans="1:80" x14ac:dyDescent="0.3">
      <c r="A6" s="1"/>
      <c r="D6" s="3" t="str">
        <f>IF($B6&lt;&gt;"", SUM($B$2:B6), "")</f>
        <v/>
      </c>
      <c r="CA6" t="s">
        <v>25</v>
      </c>
      <c r="CB6">
        <f>ABS(SUMIFS(B:B, C:C, "*Other*"))</f>
        <v>0</v>
      </c>
    </row>
    <row r="7" spans="1:80" x14ac:dyDescent="0.3">
      <c r="A7" s="1"/>
      <c r="D7" s="3" t="str">
        <f>IF($B7&lt;&gt;"", SUM($B$2:B7), "")</f>
        <v/>
      </c>
    </row>
    <row r="8" spans="1:80" x14ac:dyDescent="0.3">
      <c r="A8" s="1"/>
      <c r="D8" s="3" t="str">
        <f>IF($B8&lt;&gt;"", SUM($B$2:B8), "")</f>
        <v/>
      </c>
    </row>
    <row r="9" spans="1:80" x14ac:dyDescent="0.3">
      <c r="A9" s="1"/>
      <c r="D9" s="3" t="str">
        <f>IF($B9&lt;&gt;"", SUM($B$2:B9), "")</f>
        <v/>
      </c>
    </row>
    <row r="10" spans="1:80" x14ac:dyDescent="0.3">
      <c r="A10" s="1"/>
      <c r="D10" s="3" t="str">
        <f>IF($B10&lt;&gt;"", SUM($B$2:B10), "")</f>
        <v/>
      </c>
    </row>
    <row r="11" spans="1:80" x14ac:dyDescent="0.3">
      <c r="D11" s="3" t="str">
        <f>IF($B11&lt;&gt;"", SUM($B$2:B11), "")</f>
        <v/>
      </c>
    </row>
    <row r="12" spans="1:80" x14ac:dyDescent="0.3">
      <c r="D12" s="3" t="str">
        <f>IF($B12&lt;&gt;"", SUM($B$2:B12), "")</f>
        <v/>
      </c>
    </row>
    <row r="13" spans="1:80" x14ac:dyDescent="0.3">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row r="61" spans="4:4" x14ac:dyDescent="0.3">
      <c r="D61" s="3" t="str">
        <f>IF($B61&lt;&gt;"", SUM($B$2:B61), "")</f>
        <v/>
      </c>
    </row>
    <row r="62" spans="4:4" x14ac:dyDescent="0.3">
      <c r="D62" s="3" t="str">
        <f>IF($B62&lt;&gt;"", SUM($B$2:B62), "")</f>
        <v/>
      </c>
    </row>
  </sheetData>
  <conditionalFormatting sqref="B2:B22 B30:B83">
    <cfRule type="cellIs" dxfId="7" priority="4" operator="greaterThan">
      <formula>0</formula>
    </cfRule>
  </conditionalFormatting>
  <conditionalFormatting sqref="B2:B22 B30:B40">
    <cfRule type="cellIs" dxfId="6" priority="3" operator="lessThan">
      <formula>0</formula>
    </cfRule>
  </conditionalFormatting>
  <conditionalFormatting sqref="S34:S40">
    <cfRule type="cellIs" dxfId="5" priority="2" operator="greaterThan">
      <formula>0</formula>
    </cfRule>
  </conditionalFormatting>
  <conditionalFormatting sqref="S34:S40">
    <cfRule type="cellIs" dxfId="4" priority="1" operator="lessThan">
      <formula>0</formula>
    </cfRule>
  </conditionalFormatting>
  <pageMargins left="0.7" right="0.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D741E-A2D6-418F-8DB0-7EBABEC69D02}">
  <sheetPr codeName="Sheet17"/>
  <dimension ref="A1:CB96"/>
  <sheetViews>
    <sheetView topLeftCell="A19" zoomScale="41" zoomScaleNormal="85" workbookViewId="0">
      <selection activeCell="D50" sqref="D50:D96"/>
    </sheetView>
  </sheetViews>
  <sheetFormatPr defaultRowHeight="14.4" x14ac:dyDescent="0.3"/>
  <cols>
    <col min="1" max="1" width="14.77734375" customWidth="1"/>
    <col min="2" max="2" width="15.21875" style="2" customWidth="1"/>
    <col min="3" max="3" width="20.33203125" customWidth="1"/>
    <col min="4" max="4" width="21.44140625" customWidth="1"/>
    <col min="5" max="5" width="28.77734375" customWidth="1"/>
    <col min="7" max="7" width="36.21875" customWidth="1"/>
  </cols>
  <sheetData>
    <row r="1" spans="1:80" ht="45.6" x14ac:dyDescent="0.8">
      <c r="A1" s="22" t="s">
        <v>0</v>
      </c>
      <c r="B1" s="23" t="s">
        <v>1</v>
      </c>
      <c r="C1" s="22" t="s">
        <v>2</v>
      </c>
      <c r="D1" s="22" t="s">
        <v>3</v>
      </c>
      <c r="E1" s="22" t="s">
        <v>4</v>
      </c>
      <c r="G1" s="4" t="str" cm="1">
        <f t="array" ref="G1">INDEX(D:D,MATCH(2,1/(D:D&lt;&gt;""),1))</f>
        <v>Total Balance</v>
      </c>
      <c r="BB1" t="s">
        <v>18</v>
      </c>
      <c r="CA1" t="s">
        <v>5</v>
      </c>
      <c r="CB1">
        <f>ABS(SUMIFS(B:B, C:C, "*Food*"))</f>
        <v>0</v>
      </c>
    </row>
    <row r="2" spans="1:80" x14ac:dyDescent="0.3">
      <c r="A2" s="1"/>
      <c r="D2" s="3" t="str">
        <f>IF($B2&lt;&gt;"", SUM($B$2:B2), "")</f>
        <v/>
      </c>
      <c r="G2" t="s">
        <v>17</v>
      </c>
      <c r="BB2" t="s">
        <v>15</v>
      </c>
      <c r="CA2" t="s">
        <v>15</v>
      </c>
      <c r="CB2">
        <f>ABS(SUMIFS(B:B, C:C, "*Entertainment*"))</f>
        <v>0</v>
      </c>
    </row>
    <row r="3" spans="1:80" x14ac:dyDescent="0.3">
      <c r="A3" s="7"/>
      <c r="D3" s="3" t="str">
        <f>IF($B3&lt;&gt;"", SUM($B$2:B3), "")</f>
        <v/>
      </c>
      <c r="BB3" t="s">
        <v>6</v>
      </c>
      <c r="CA3" t="s">
        <v>6</v>
      </c>
      <c r="CB3">
        <f>ABS(SUMIFS(B:B, C:C, "*Subscriptions*"))</f>
        <v>0</v>
      </c>
    </row>
    <row r="4" spans="1:80" x14ac:dyDescent="0.3">
      <c r="A4" s="1"/>
      <c r="D4" s="3" t="str">
        <f>IF($B4&lt;&gt;"", SUM($B$2:B4), "")</f>
        <v/>
      </c>
      <c r="E4" s="3"/>
      <c r="BB4" t="s">
        <v>7</v>
      </c>
      <c r="CA4" t="s">
        <v>7</v>
      </c>
      <c r="CB4">
        <f>ABS(SUMIFS(B:B, C:C, "*School*"))</f>
        <v>0</v>
      </c>
    </row>
    <row r="5" spans="1:80" x14ac:dyDescent="0.3">
      <c r="A5" s="1"/>
      <c r="D5" s="3" t="str">
        <f>IF($B5&lt;&gt;"", SUM($B$2:B5), "")</f>
        <v/>
      </c>
      <c r="BB5" t="s">
        <v>8</v>
      </c>
      <c r="CA5" t="s">
        <v>8</v>
      </c>
      <c r="CB5">
        <f>ABS(SUMIFS(B:B, C:C, "*Housing*"))</f>
        <v>0</v>
      </c>
    </row>
    <row r="6" spans="1:80" x14ac:dyDescent="0.3">
      <c r="A6" s="1"/>
      <c r="D6" s="3" t="str">
        <f>IF($B6&lt;&gt;"", SUM($B$2:B6), "")</f>
        <v/>
      </c>
      <c r="BB6" t="s">
        <v>9</v>
      </c>
      <c r="CA6" t="s">
        <v>25</v>
      </c>
      <c r="CB6">
        <f>ABS(SUMIFS(B:B, C:C, "*Other*"))</f>
        <v>0</v>
      </c>
    </row>
    <row r="7" spans="1:80" x14ac:dyDescent="0.3">
      <c r="A7" s="1"/>
      <c r="D7" s="3" t="str">
        <f>IF($B7&lt;&gt;"", SUM($B$2:B7), "")</f>
        <v/>
      </c>
    </row>
    <row r="8" spans="1:80" x14ac:dyDescent="0.3">
      <c r="A8" s="1"/>
      <c r="D8" s="3" t="str">
        <f>IF($B8&lt;&gt;"", SUM($B$2:B8), "")</f>
        <v/>
      </c>
    </row>
    <row r="9" spans="1:80" x14ac:dyDescent="0.3">
      <c r="A9" s="1"/>
      <c r="D9" s="3" t="str">
        <f>IF($B9&lt;&gt;"", SUM($B$2:B9), "")</f>
        <v/>
      </c>
    </row>
    <row r="10" spans="1:80" x14ac:dyDescent="0.3">
      <c r="A10" s="1"/>
      <c r="D10" s="3" t="str">
        <f>IF($B10&lt;&gt;"", SUM($B$2:B10), "")</f>
        <v/>
      </c>
    </row>
    <row r="11" spans="1:80" x14ac:dyDescent="0.3">
      <c r="D11" s="3" t="str">
        <f>IF($B11&lt;&gt;"", SUM($B$2:B11), "")</f>
        <v/>
      </c>
    </row>
    <row r="12" spans="1:80" x14ac:dyDescent="0.3">
      <c r="D12" s="3" t="str">
        <f>IF($B12&lt;&gt;"", SUM($B$2:B12), "")</f>
        <v/>
      </c>
    </row>
    <row r="13" spans="1:80" x14ac:dyDescent="0.3">
      <c r="D13" s="3" t="str">
        <f>IF($B13&lt;&gt;"", SUM($B$2:B13), "")</f>
        <v/>
      </c>
    </row>
    <row r="14" spans="1:80" x14ac:dyDescent="0.3">
      <c r="D14" s="3" t="str">
        <f>IF($B14&lt;&gt;"", SUM($B$2:B14), "")</f>
        <v/>
      </c>
    </row>
    <row r="15" spans="1:80" x14ac:dyDescent="0.3">
      <c r="D15" s="3" t="str">
        <f>IF($B15&lt;&gt;"", SUM($B$2:B15), "")</f>
        <v/>
      </c>
    </row>
    <row r="16" spans="1:80" x14ac:dyDescent="0.3">
      <c r="D16" s="3" t="str">
        <f>IF($B16&lt;&gt;"", SUM($B$2:B16), "")</f>
        <v/>
      </c>
    </row>
    <row r="17" spans="4:4" x14ac:dyDescent="0.3">
      <c r="D17" s="3" t="str">
        <f>IF($B17&lt;&gt;"", SUM($B$2:B17), "")</f>
        <v/>
      </c>
    </row>
    <row r="18" spans="4:4" x14ac:dyDescent="0.3">
      <c r="D18" s="3" t="str">
        <f>IF($B18&lt;&gt;"", SUM($B$2:B18), "")</f>
        <v/>
      </c>
    </row>
    <row r="19" spans="4:4" x14ac:dyDescent="0.3">
      <c r="D19" s="3" t="str">
        <f>IF($B19&lt;&gt;"", SUM($B$2:B19), "")</f>
        <v/>
      </c>
    </row>
    <row r="20" spans="4:4" x14ac:dyDescent="0.3">
      <c r="D20" s="3" t="str">
        <f>IF($B20&lt;&gt;"", SUM($B$2:B20), "")</f>
        <v/>
      </c>
    </row>
    <row r="21" spans="4:4" x14ac:dyDescent="0.3">
      <c r="D21" s="3" t="str">
        <f>IF($B21&lt;&gt;"", SUM($B$2:B21), "")</f>
        <v/>
      </c>
    </row>
    <row r="22" spans="4:4" x14ac:dyDescent="0.3">
      <c r="D22" s="3" t="str">
        <f>IF($B22&lt;&gt;"", SUM($B$2:B22), "")</f>
        <v/>
      </c>
    </row>
    <row r="23" spans="4:4" x14ac:dyDescent="0.3">
      <c r="D23" s="3" t="str">
        <f>IF($B23&lt;&gt;"", SUM($B$2:B23), "")</f>
        <v/>
      </c>
    </row>
    <row r="24" spans="4:4" x14ac:dyDescent="0.3">
      <c r="D24" s="3" t="str">
        <f>IF($B24&lt;&gt;"", SUM($B$2:B24), "")</f>
        <v/>
      </c>
    </row>
    <row r="25" spans="4:4" x14ac:dyDescent="0.3">
      <c r="D25" s="3" t="str">
        <f>IF($B25&lt;&gt;"", SUM($B$2:B25), "")</f>
        <v/>
      </c>
    </row>
    <row r="26" spans="4:4" x14ac:dyDescent="0.3">
      <c r="D26" s="3" t="str">
        <f>IF($B26&lt;&gt;"", SUM($B$2:B26), "")</f>
        <v/>
      </c>
    </row>
    <row r="27" spans="4:4" x14ac:dyDescent="0.3">
      <c r="D27" s="3" t="str">
        <f>IF($B27&lt;&gt;"", SUM($B$2:B27), "")</f>
        <v/>
      </c>
    </row>
    <row r="28" spans="4:4" x14ac:dyDescent="0.3">
      <c r="D28" s="3" t="str">
        <f>IF($B28&lt;&gt;"", SUM($B$2:B28), "")</f>
        <v/>
      </c>
    </row>
    <row r="29" spans="4:4" x14ac:dyDescent="0.3">
      <c r="D29" s="3" t="str">
        <f>IF($B29&lt;&gt;"", SUM($B$2:B29), "")</f>
        <v/>
      </c>
    </row>
    <row r="30" spans="4:4" x14ac:dyDescent="0.3">
      <c r="D30" s="3" t="str">
        <f>IF($B30&lt;&gt;"", SUM($B$2:B30), "")</f>
        <v/>
      </c>
    </row>
    <row r="31" spans="4:4" x14ac:dyDescent="0.3">
      <c r="D31" s="3" t="str">
        <f>IF($B31&lt;&gt;"", SUM($B$2:B31), "")</f>
        <v/>
      </c>
    </row>
    <row r="32" spans="4:4" x14ac:dyDescent="0.3">
      <c r="D32" s="3" t="str">
        <f>IF($B32&lt;&gt;"", SUM($B$2:B32), "")</f>
        <v/>
      </c>
    </row>
    <row r="33" spans="4:19" x14ac:dyDescent="0.3">
      <c r="D33" s="3" t="str">
        <f>IF($B33&lt;&gt;"", SUM($B$2:B33), "")</f>
        <v/>
      </c>
    </row>
    <row r="34" spans="4:19" x14ac:dyDescent="0.3">
      <c r="D34" s="3" t="str">
        <f>IF($B34&lt;&gt;"", SUM($B$2:B34), "")</f>
        <v/>
      </c>
      <c r="S34" s="2"/>
    </row>
    <row r="35" spans="4:19" x14ac:dyDescent="0.3">
      <c r="D35" s="3" t="str">
        <f>IF($B35&lt;&gt;"", SUM($B$2:B35), "")</f>
        <v/>
      </c>
      <c r="S35" s="2"/>
    </row>
    <row r="36" spans="4:19" x14ac:dyDescent="0.3">
      <c r="D36" s="3" t="str">
        <f>IF($B36&lt;&gt;"", SUM($B$2:B36), "")</f>
        <v/>
      </c>
      <c r="S36" s="2"/>
    </row>
    <row r="37" spans="4:19" x14ac:dyDescent="0.3">
      <c r="D37" s="3" t="str">
        <f>IF($B37&lt;&gt;"", SUM($B$2:B37), "")</f>
        <v/>
      </c>
      <c r="S37" s="2"/>
    </row>
    <row r="38" spans="4:19" x14ac:dyDescent="0.3">
      <c r="D38" s="3" t="str">
        <f>IF($B38&lt;&gt;"", SUM($B$2:B38), "")</f>
        <v/>
      </c>
      <c r="S38" s="2"/>
    </row>
    <row r="39" spans="4:19" x14ac:dyDescent="0.3">
      <c r="D39" s="3" t="str">
        <f>IF($B39&lt;&gt;"", SUM($B$2:B39), "")</f>
        <v/>
      </c>
      <c r="S39" s="2"/>
    </row>
    <row r="40" spans="4:19" x14ac:dyDescent="0.3">
      <c r="D40" s="3" t="str">
        <f>IF($B40&lt;&gt;"", SUM($B$2:B40), "")</f>
        <v/>
      </c>
      <c r="S40" s="2"/>
    </row>
    <row r="41" spans="4:19" x14ac:dyDescent="0.3">
      <c r="D41" s="3" t="str">
        <f>IF($B41&lt;&gt;"", SUM($B$2:B41), "")</f>
        <v/>
      </c>
    </row>
    <row r="42" spans="4:19" x14ac:dyDescent="0.3">
      <c r="D42" s="3" t="str">
        <f>IF($B42&lt;&gt;"", SUM($B$2:B42), "")</f>
        <v/>
      </c>
    </row>
    <row r="43" spans="4:19" x14ac:dyDescent="0.3">
      <c r="D43" s="3" t="str">
        <f>IF($B43&lt;&gt;"", SUM($B$2:B43), "")</f>
        <v/>
      </c>
    </row>
    <row r="44" spans="4:19" x14ac:dyDescent="0.3">
      <c r="D44" s="3" t="str">
        <f>IF($B44&lt;&gt;"", SUM($B$2:B44), "")</f>
        <v/>
      </c>
    </row>
    <row r="45" spans="4:19" x14ac:dyDescent="0.3">
      <c r="D45" s="3" t="str">
        <f>IF($B45&lt;&gt;"", SUM($B$2:B45), "")</f>
        <v/>
      </c>
    </row>
    <row r="46" spans="4:19" x14ac:dyDescent="0.3">
      <c r="D46" s="3" t="str">
        <f>IF($B46&lt;&gt;"", SUM($B$2:B46), "")</f>
        <v/>
      </c>
    </row>
    <row r="47" spans="4:19" x14ac:dyDescent="0.3">
      <c r="D47" s="3" t="str">
        <f>IF($B47&lt;&gt;"", SUM($B$2:B47), "")</f>
        <v/>
      </c>
    </row>
    <row r="48" spans="4:19" x14ac:dyDescent="0.3">
      <c r="D48" s="3" t="str">
        <f>IF($B48&lt;&gt;"", SUM($B$2:B48), "")</f>
        <v/>
      </c>
    </row>
    <row r="49" spans="4:4" x14ac:dyDescent="0.3">
      <c r="D49" s="3" t="str">
        <f>IF($B49&lt;&gt;"", SUM($B$2:B49), "")</f>
        <v/>
      </c>
    </row>
    <row r="50" spans="4:4" x14ac:dyDescent="0.3">
      <c r="D50" s="3" t="str">
        <f>IF($B50&lt;&gt;"", SUM($B$2:B50), "")</f>
        <v/>
      </c>
    </row>
    <row r="51" spans="4:4" x14ac:dyDescent="0.3">
      <c r="D51" s="3" t="str">
        <f>IF($B51&lt;&gt;"", SUM($B$2:B51), "")</f>
        <v/>
      </c>
    </row>
    <row r="52" spans="4:4" x14ac:dyDescent="0.3">
      <c r="D52" s="3" t="str">
        <f>IF($B52&lt;&gt;"", SUM($B$2:B52), "")</f>
        <v/>
      </c>
    </row>
    <row r="53" spans="4:4" x14ac:dyDescent="0.3">
      <c r="D53" s="3" t="str">
        <f>IF($B53&lt;&gt;"", SUM($B$2:B53), "")</f>
        <v/>
      </c>
    </row>
    <row r="54" spans="4:4" x14ac:dyDescent="0.3">
      <c r="D54" s="3" t="str">
        <f>IF($B54&lt;&gt;"", SUM($B$2:B54), "")</f>
        <v/>
      </c>
    </row>
    <row r="55" spans="4:4" x14ac:dyDescent="0.3">
      <c r="D55" s="3" t="str">
        <f>IF($B55&lt;&gt;"", SUM($B$2:B55), "")</f>
        <v/>
      </c>
    </row>
    <row r="56" spans="4:4" x14ac:dyDescent="0.3">
      <c r="D56" s="3" t="str">
        <f>IF($B56&lt;&gt;"", SUM($B$2:B56), "")</f>
        <v/>
      </c>
    </row>
    <row r="57" spans="4:4" x14ac:dyDescent="0.3">
      <c r="D57" s="3" t="str">
        <f>IF($B57&lt;&gt;"", SUM($B$2:B57), "")</f>
        <v/>
      </c>
    </row>
    <row r="58" spans="4:4" x14ac:dyDescent="0.3">
      <c r="D58" s="3" t="str">
        <f>IF($B58&lt;&gt;"", SUM($B$2:B58), "")</f>
        <v/>
      </c>
    </row>
    <row r="59" spans="4:4" x14ac:dyDescent="0.3">
      <c r="D59" s="3" t="str">
        <f>IF($B59&lt;&gt;"", SUM($B$2:B59), "")</f>
        <v/>
      </c>
    </row>
    <row r="60" spans="4:4" x14ac:dyDescent="0.3">
      <c r="D60" s="3" t="str">
        <f>IF($B60&lt;&gt;"", SUM($B$2:B60), "")</f>
        <v/>
      </c>
    </row>
    <row r="61" spans="4:4" x14ac:dyDescent="0.3">
      <c r="D61" s="3" t="str">
        <f>IF($B61&lt;&gt;"", SUM($B$2:B61), "")</f>
        <v/>
      </c>
    </row>
    <row r="62" spans="4:4" x14ac:dyDescent="0.3">
      <c r="D62" s="3" t="str">
        <f>IF($B62&lt;&gt;"", SUM($B$2:B62), "")</f>
        <v/>
      </c>
    </row>
    <row r="63" spans="4:4" x14ac:dyDescent="0.3">
      <c r="D63" s="3" t="str">
        <f>IF($B63&lt;&gt;"", SUM($B$2:B63), "")</f>
        <v/>
      </c>
    </row>
    <row r="64" spans="4:4" x14ac:dyDescent="0.3">
      <c r="D64" s="3" t="str">
        <f>IF($B64&lt;&gt;"", SUM($B$2:B64), "")</f>
        <v/>
      </c>
    </row>
    <row r="65" spans="4:4" x14ac:dyDescent="0.3">
      <c r="D65" s="3" t="str">
        <f>IF($B65&lt;&gt;"", SUM($B$2:B65), "")</f>
        <v/>
      </c>
    </row>
    <row r="66" spans="4:4" x14ac:dyDescent="0.3">
      <c r="D66" s="3" t="str">
        <f>IF($B66&lt;&gt;"", SUM($B$2:B66), "")</f>
        <v/>
      </c>
    </row>
    <row r="67" spans="4:4" x14ac:dyDescent="0.3">
      <c r="D67" s="3" t="str">
        <f>IF($B67&lt;&gt;"", SUM($B$2:B67), "")</f>
        <v/>
      </c>
    </row>
    <row r="68" spans="4:4" x14ac:dyDescent="0.3">
      <c r="D68" s="3" t="str">
        <f>IF($B68&lt;&gt;"", SUM($B$2:B68), "")</f>
        <v/>
      </c>
    </row>
    <row r="69" spans="4:4" x14ac:dyDescent="0.3">
      <c r="D69" s="3" t="str">
        <f>IF($B69&lt;&gt;"", SUM($B$2:B69), "")</f>
        <v/>
      </c>
    </row>
    <row r="70" spans="4:4" x14ac:dyDescent="0.3">
      <c r="D70" s="3" t="str">
        <f>IF($B70&lt;&gt;"", SUM($B$2:B70), "")</f>
        <v/>
      </c>
    </row>
    <row r="71" spans="4:4" x14ac:dyDescent="0.3">
      <c r="D71" s="3" t="str">
        <f>IF($B71&lt;&gt;"", SUM($B$2:B71), "")</f>
        <v/>
      </c>
    </row>
    <row r="72" spans="4:4" x14ac:dyDescent="0.3">
      <c r="D72" s="3" t="str">
        <f>IF($B72&lt;&gt;"", SUM($B$2:B72), "")</f>
        <v/>
      </c>
    </row>
    <row r="73" spans="4:4" x14ac:dyDescent="0.3">
      <c r="D73" s="3" t="str">
        <f>IF($B73&lt;&gt;"", SUM($B$2:B73), "")</f>
        <v/>
      </c>
    </row>
    <row r="74" spans="4:4" x14ac:dyDescent="0.3">
      <c r="D74" s="3" t="str">
        <f>IF($B74&lt;&gt;"", SUM($B$2:B74), "")</f>
        <v/>
      </c>
    </row>
    <row r="75" spans="4:4" x14ac:dyDescent="0.3">
      <c r="D75" s="3" t="str">
        <f>IF($B75&lt;&gt;"", SUM($B$2:B75), "")</f>
        <v/>
      </c>
    </row>
    <row r="76" spans="4:4" x14ac:dyDescent="0.3">
      <c r="D76" s="3" t="str">
        <f>IF($B76&lt;&gt;"", SUM($B$2:B76), "")</f>
        <v/>
      </c>
    </row>
    <row r="77" spans="4:4" x14ac:dyDescent="0.3">
      <c r="D77" s="3" t="str">
        <f>IF($B77&lt;&gt;"", SUM($B$2:B77), "")</f>
        <v/>
      </c>
    </row>
    <row r="78" spans="4:4" x14ac:dyDescent="0.3">
      <c r="D78" s="3" t="str">
        <f>IF($B78&lt;&gt;"", SUM($B$2:B78), "")</f>
        <v/>
      </c>
    </row>
    <row r="79" spans="4:4" x14ac:dyDescent="0.3">
      <c r="D79" s="3" t="str">
        <f>IF($B79&lt;&gt;"", SUM($B$2:B79), "")</f>
        <v/>
      </c>
    </row>
    <row r="80" spans="4:4" x14ac:dyDescent="0.3">
      <c r="D80" s="3" t="str">
        <f>IF($B80&lt;&gt;"", SUM($B$2:B80), "")</f>
        <v/>
      </c>
    </row>
    <row r="81" spans="4:4" x14ac:dyDescent="0.3">
      <c r="D81" s="3" t="str">
        <f>IF($B81&lt;&gt;"", SUM($B$2:B81), "")</f>
        <v/>
      </c>
    </row>
    <row r="82" spans="4:4" x14ac:dyDescent="0.3">
      <c r="D82" s="3" t="str">
        <f>IF($B82&lt;&gt;"", SUM($B$2:B82), "")</f>
        <v/>
      </c>
    </row>
    <row r="83" spans="4:4" x14ac:dyDescent="0.3">
      <c r="D83" s="3" t="str">
        <f>IF($B83&lt;&gt;"", SUM($B$2:B83), "")</f>
        <v/>
      </c>
    </row>
    <row r="84" spans="4:4" x14ac:dyDescent="0.3">
      <c r="D84" s="3" t="str">
        <f>IF($B84&lt;&gt;"", SUM($B$2:B84), "")</f>
        <v/>
      </c>
    </row>
    <row r="85" spans="4:4" x14ac:dyDescent="0.3">
      <c r="D85" s="3" t="str">
        <f>IF($B85&lt;&gt;"", SUM($B$2:B85), "")</f>
        <v/>
      </c>
    </row>
    <row r="86" spans="4:4" x14ac:dyDescent="0.3">
      <c r="D86" s="3" t="str">
        <f>IF($B86&lt;&gt;"", SUM($B$2:B86), "")</f>
        <v/>
      </c>
    </row>
    <row r="87" spans="4:4" x14ac:dyDescent="0.3">
      <c r="D87" s="3" t="str">
        <f>IF($B87&lt;&gt;"", SUM($B$2:B87), "")</f>
        <v/>
      </c>
    </row>
    <row r="88" spans="4:4" x14ac:dyDescent="0.3">
      <c r="D88" s="3" t="str">
        <f>IF($B88&lt;&gt;"", SUM($B$2:B88), "")</f>
        <v/>
      </c>
    </row>
    <row r="89" spans="4:4" x14ac:dyDescent="0.3">
      <c r="D89" s="3" t="str">
        <f>IF($B89&lt;&gt;"", SUM($B$2:B89), "")</f>
        <v/>
      </c>
    </row>
    <row r="90" spans="4:4" x14ac:dyDescent="0.3">
      <c r="D90" s="3" t="str">
        <f>IF($B90&lt;&gt;"", SUM($B$2:B90), "")</f>
        <v/>
      </c>
    </row>
    <row r="91" spans="4:4" x14ac:dyDescent="0.3">
      <c r="D91" s="3" t="str">
        <f>IF($B91&lt;&gt;"", SUM($B$2:B91), "")</f>
        <v/>
      </c>
    </row>
    <row r="92" spans="4:4" x14ac:dyDescent="0.3">
      <c r="D92" s="3" t="str">
        <f>IF($B92&lt;&gt;"", SUM($B$2:B92), "")</f>
        <v/>
      </c>
    </row>
    <row r="93" spans="4:4" x14ac:dyDescent="0.3">
      <c r="D93" s="3" t="str">
        <f>IF($B93&lt;&gt;"", SUM($B$2:B93), "")</f>
        <v/>
      </c>
    </row>
    <row r="94" spans="4:4" x14ac:dyDescent="0.3">
      <c r="D94" s="3" t="str">
        <f>IF($B94&lt;&gt;"", SUM($B$2:B94), "")</f>
        <v/>
      </c>
    </row>
    <row r="95" spans="4:4" x14ac:dyDescent="0.3">
      <c r="D95" s="3" t="str">
        <f>IF($B95&lt;&gt;"", SUM($B$2:B95), "")</f>
        <v/>
      </c>
    </row>
    <row r="96" spans="4:4" x14ac:dyDescent="0.3">
      <c r="D96" s="3" t="str">
        <f>IF($B96&lt;&gt;"", SUM($B$2:B96), "")</f>
        <v/>
      </c>
    </row>
  </sheetData>
  <conditionalFormatting sqref="B2:B22 B30:B83">
    <cfRule type="cellIs" dxfId="3" priority="4" operator="greaterThan">
      <formula>0</formula>
    </cfRule>
  </conditionalFormatting>
  <conditionalFormatting sqref="B2:B22 B30:B40">
    <cfRule type="cellIs" dxfId="2" priority="3" operator="lessThan">
      <formula>0</formula>
    </cfRule>
  </conditionalFormatting>
  <conditionalFormatting sqref="S34:S40">
    <cfRule type="cellIs" dxfId="1" priority="2" operator="greaterThan">
      <formula>0</formula>
    </cfRule>
  </conditionalFormatting>
  <conditionalFormatting sqref="S34:S40">
    <cfRule type="cellIs" dxfId="0" priority="1" operator="lessThan">
      <formula>0</formula>
    </cfRule>
  </conditionalFormatting>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General</vt:lpstr>
      <vt:lpstr>Notes</vt:lpstr>
      <vt:lpstr>September</vt:lpstr>
      <vt:lpstr>October</vt:lpstr>
      <vt:lpstr>November</vt:lpstr>
      <vt:lpstr>December</vt:lpstr>
      <vt:lpstr>January</vt:lpstr>
      <vt:lpstr>February</vt:lpstr>
      <vt:lpstr>March</vt:lpstr>
      <vt:lpstr>April</vt:lpstr>
      <vt:lpstr>May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Shane Rohan Barakat</dc:creator>
  <cp:lastModifiedBy>Shane Barakat</cp:lastModifiedBy>
  <dcterms:created xsi:type="dcterms:W3CDTF">2023-10-23T19:12:03Z</dcterms:created>
  <dcterms:modified xsi:type="dcterms:W3CDTF">2023-12-05T03:19:29Z</dcterms:modified>
</cp:coreProperties>
</file>